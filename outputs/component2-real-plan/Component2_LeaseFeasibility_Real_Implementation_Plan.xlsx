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9f4f2dff8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9e6e3ab9178451a"/>
    <x:sheet xmlns:r="http://schemas.openxmlformats.org/officeDocument/2006/relationships" name="Current State" sheetId="2" r:id="Rdfbeb00aa4904a12"/>
    <x:sheet xmlns:r="http://schemas.openxmlformats.org/officeDocument/2006/relationships" name="Implementation Plan" sheetId="3" r:id="Rb9be2de60eaa46c4"/>
    <x:sheet xmlns:r="http://schemas.openxmlformats.org/officeDocument/2006/relationships" name="Validation Matrix" sheetId="4" r:id="Rce616d2f2e3d452a"/>
    <x:sheet xmlns:r="http://schemas.openxmlformats.org/officeDocument/2006/relationships" name="Antigravity Prompts" sheetId="5" r:id="R62174a1527b245e0"/>
    <x:sheet xmlns:r="http://schemas.openxmlformats.org/officeDocument/2006/relationships" name="Risks and Decisions" sheetId="6" r:id="R64b0a07d6ac44e7e"/>
    <x:sheet xmlns:r="http://schemas.openxmlformats.org/officeDocument/2006/relationships" name="Source Traceability" sheetId="7" r:id="R00c1997a5fd0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1F2937"/>
      <x:name val="Arial"/>
    </x:font>
    <x:font>
      <x:i/>
      <x:sz val="10"/>
      <x:color rgb="FF5F6B7A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7E6E6"/>
      </x:patternFill>
    </x:fill>
    <x:fill>
      <x:patternFill patternType="solid">
        <x:fgColor rgb="FF1F293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ADCF8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1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top style="thin">
        <x:color rgb="FFD0D7DE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0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horizontal="center" wrapText="1"/>
    </x:xf>
    <x:xf numFmtId="0" fontId="6" fillId="4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11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vertical="top" wrapText="1"/>
    </x:xf>
    <x:xf numFmtId="0" fontId="5" fillId="2" borderId="11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5" fillId="2" borderId="11" xfId="0" applyNumberFormat="1" applyFont="1" applyFill="1" applyBorder="1" applyAlignment="1">
      <x:alignment horizontal="center" vertical="top" wrapText="1"/>
    </x:xf>
    <x:xf numFmtId="0" fontId="5" fillId="2" borderId="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12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5" fillId="2" borderId="5" xfId="0" applyNumberFormat="1" applyFont="1" applyFill="1" applyBorder="1" applyAlignment="1">
      <x:alignment vertical="top" wrapText="1"/>
    </x:xf>
    <x:xf numFmtId="0" fontId="4" fillId="2" borderId="12" xfId="0" applyNumberFormat="1" applyFont="1" applyFill="1" applyBorder="1" applyAlignment="1">
      <x:alignment vertical="top" wrapText="1"/>
    </x:xf>
    <x:xf numFmtId="0" fontId="5" fillId="2" borderId="12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4" fillId="8" borderId="12" xfId="0" applyNumberFormat="1" applyFont="1" applyFill="1" applyBorder="1" applyAlignment="1">
      <x:alignment vertical="top" wrapText="1"/>
    </x:xf>
    <x:xf numFmtId="0" fontId="5" fillId="8" borderId="12" xfId="0" applyNumberFormat="1" applyFont="1" applyFill="1" applyBorder="1" applyAlignment="1">
      <x:alignment vertical="top" wrapText="1"/>
    </x:xf>
    <x:xf numFmtId="0" fontId="4" fillId="9" borderId="12" xfId="0" applyNumberFormat="1" applyFont="1" applyFill="1" applyBorder="1" applyAlignment="1">
      <x:alignment vertical="top" wrapText="1"/>
    </x:xf>
    <x:xf numFmtId="0" fontId="5" fillId="9" borderId="12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4" fillId="6" borderId="6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</x:cellXfs>
  <x:cellStyles count="1">
    <x:cellStyle name="Normal" xfId="0"/>
  </x:cellStyles>
  <x:dxfs count="45"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EADCF8"/>
        </x:patternFill>
      </x:fill>
    </x:dxf>
    <x:dxf>
      <x:font>
        <x:b/>
        <x:color rgb="FF1F2937"/>
      </x:font>
      <x:fill>
        <x:patternFill patternType="solid">
          <x:bgColor rgb="FFF4CCCC"/>
        </x:patternFill>
      </x:fill>
    </x:dxf>
    <x:dxf>
      <x:font>
        <x:b/>
        <x:color rgb="FF1F2937"/>
      </x:font>
      <x:fill>
        <x:patternFill patternType="solid">
          <x:bgColor rgb="FFE7E6E6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EADCF8"/>
        </x:patternFill>
      </x:fill>
    </x:dxf>
    <x:dxf>
      <x:font>
        <x:b/>
        <x:color rgb="FF1F2937"/>
      </x:font>
      <x:fill>
        <x:patternFill patternType="solid">
          <x:bgColor rgb="FFF4CCCC"/>
        </x:patternFill>
      </x:fill>
    </x:dxf>
    <x:dxf>
      <x:font>
        <x:b/>
        <x:color rgb="FF1F2937"/>
      </x:font>
      <x:fill>
        <x:patternFill patternType="solid">
          <x:bgColor rgb="FFE7E6E6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EADCF8"/>
        </x:patternFill>
      </x:fill>
    </x:dxf>
    <x:dxf>
      <x:font>
        <x:b/>
        <x:color rgb="FF1F2937"/>
      </x:font>
      <x:fill>
        <x:patternFill patternType="solid">
          <x:bgColor rgb="FFF4CCCC"/>
        </x:patternFill>
      </x:fill>
    </x:dxf>
    <x:dxf>
      <x:font>
        <x:b/>
        <x:color rgb="FF1F2937"/>
      </x:font>
      <x:fill>
        <x:patternFill patternType="solid">
          <x:bgColor rgb="FFE7E6E6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EADCF8"/>
        </x:patternFill>
      </x:fill>
    </x:dxf>
    <x:dxf>
      <x:font>
        <x:b/>
        <x:color rgb="FF1F2937"/>
      </x:font>
      <x:fill>
        <x:patternFill patternType="solid">
          <x:bgColor rgb="FFF4CCCC"/>
        </x:patternFill>
      </x:fill>
    </x:dxf>
    <x:dxf>
      <x:font>
        <x:b/>
        <x:color rgb="FF1F2937"/>
      </x:font>
      <x:fill>
        <x:patternFill patternType="solid">
          <x:bgColor rgb="FFE7E6E6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D9EAD3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EADCF8"/>
        </x:patternFill>
      </x:fill>
    </x:dxf>
    <x:dxf>
      <x:font>
        <x:b/>
        <x:color rgb="FF1F2937"/>
      </x:font>
      <x:fill>
        <x:patternFill patternType="solid">
          <x:bgColor rgb="FFF4CCCC"/>
        </x:patternFill>
      </x:fill>
    </x:dxf>
    <x:dxf>
      <x:font>
        <x:b/>
        <x:color rgb="FF1F2937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dbbd78b424deb" /><Relationship Type="http://schemas.openxmlformats.org/officeDocument/2006/relationships/theme" Target="/xl/theme/theme1.xml" Id="R04c30d4e4f1a4940" /><Relationship Type="http://schemas.openxmlformats.org/officeDocument/2006/relationships/sharedStrings" Target="/xl/sharedStrings.xml" Id="R77cc6c09869142cc" /><Relationship Type="http://schemas.openxmlformats.org/officeDocument/2006/relationships/worksheet" Target="/xl/worksheets/sheet1.xml" Id="Re9e6e3ab9178451a" /><Relationship Type="http://schemas.openxmlformats.org/officeDocument/2006/relationships/worksheet" Target="/xl/worksheets/sheet2.xml" Id="Rdfbeb00aa4904a12" /><Relationship Type="http://schemas.openxmlformats.org/officeDocument/2006/relationships/worksheet" Target="/xl/worksheets/sheet3.xml" Id="Rb9be2de60eaa46c4" /><Relationship Type="http://schemas.openxmlformats.org/officeDocument/2006/relationships/worksheet" Target="/xl/worksheets/sheet4.xml" Id="Rce616d2f2e3d452a" /><Relationship Type="http://schemas.openxmlformats.org/officeDocument/2006/relationships/worksheet" Target="/xl/worksheets/sheet5.xml" Id="R62174a1527b245e0" /><Relationship Type="http://schemas.openxmlformats.org/officeDocument/2006/relationships/worksheet" Target="/xl/worksheets/sheet6.xml" Id="R64b0a07d6ac44e7e" /><Relationship Type="http://schemas.openxmlformats.org/officeDocument/2006/relationships/worksheet" Target="/xl/worksheets/sheet7.xml" Id="R00c1997a5fd0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28" hidden="0" customWidth="1"/>
    <x:col min="5" max="5" width="18" hidden="0" customWidth="1"/>
    <x:col min="6" max="6" width="32" hidden="0" customWidth="1"/>
    <x:col min="7" max="7" width="20" hidden="0" customWidth="1"/>
    <x:col min="8" max="8" width="42" hidden="0" customWidth="1"/>
  </x:cols>
  <x:sheetData>
    <x:row r="1" ht="28" customHeight="1">
      <x:c r="A1" s="1" t="str">
        <x:v>Component 2 - Real Implementation Plan</x:v>
      </x:c>
      <x:c r="B1" s="1"/>
      <x:c r="C1" s="1"/>
      <x:c r="D1" s="1"/>
      <x:c r="E1" s="1"/>
      <x:c r="F1" s="1"/>
      <x:c r="G1" s="1"/>
      <x:c r="H1" s="1"/>
    </x:row>
    <x:row r="2" ht="18" customHeight="1">
      <x:c r="A2" s="3" t="str">
        <x:v>Branch-aware plan based on the TAF, the existing Antigravity workbook, and verified code in Component_02_RH as of 2026-09-22.</x:v>
      </x:c>
      <x:c r="B2" s="3"/>
      <x:c r="C2" s="3"/>
      <x:c r="D2" s="3"/>
      <x:c r="E2" s="3"/>
      <x:c r="F2" s="3"/>
      <x:c r="G2" s="3"/>
      <x:c r="H2" s="3"/>
    </x:row>
    <x:row r="4" ht="24" customHeight="1">
      <x:c r="A4" s="6" t="str">
        <x:v>Verified branch snapshot</x:v>
      </x:c>
      <x:c r="B4" s="7"/>
      <x:c r="C4" s="7"/>
      <x:c r="D4" s="7"/>
      <x:c r="E4" s="7"/>
      <x:c r="F4" s="7"/>
      <x:c r="G4" s="7"/>
      <x:c r="H4" s="8"/>
    </x:row>
    <x:row r="5">
      <x:c r="A5" s="30" t="str">
        <x:v>Current branch</x:v>
      </x:c>
      <x:c r="B5" s="23" t="str">
        <x:v>Component_02_RH</x:v>
      </x:c>
      <x:c r="C5" s="34" t="str">
        <x:v>Git relation</x:v>
      </x:c>
      <x:c r="D5" s="23" t="str">
        <x:v>81 commits ahead of origin/Component_02_RH; most are merged team work</x:v>
      </x:c>
      <x:c r="E5" s="34" t="str">
        <x:v>Component 2 history</x:v>
      </x:c>
      <x:c r="F5" s="23" t="str">
        <x:v>Latest committed Component 2 change: 76c43a3 (deterministic scoring engine)</x:v>
      </x:c>
      <x:c r="G5" s="34" t="str">
        <x:v>Working tree</x:v>
      </x:c>
      <x:c r="H5" s="24" t="str">
        <x:v>Scoring-engine edit plus untracked boundary-test file</x:v>
      </x:c>
    </x:row>
    <x:row r="6">
      <x:c r="A6" s="31" t="str">
        <x:v>API build</x:v>
      </x:c>
      <x:c r="B6" s="26" t="str">
        <x:v>Passed: 0 warnings, 0 errors</x:v>
      </x:c>
      <x:c r="C6" s="35" t="str">
        <x:v>Component 2 tests</x:v>
      </x:c>
      <x:c r="D6" s="26" t="str">
        <x:v>44 passed, 0 failed</x:v>
      </x:c>
      <x:c r="E6" s="35" t="str">
        <x:v>OCR batch</x:v>
      </x:c>
      <x:c r="F6" s="26" t="str">
        <x:v>73/96 fields correct (76.0%) on 24 synthetic text documents</x:v>
      </x:c>
      <x:c r="G6" s="35" t="str">
        <x:v>UI</x:v>
      </x:c>
      <x:c r="H6" s="27" t="str">
        <x:v>Placeholder only</x:v>
      </x:c>
    </x:row>
    <x:row r="7">
      <x:c r="A7" s="60"/>
      <x:c r="B7" s="60"/>
      <x:c r="C7" s="60"/>
      <x:c r="D7" s="60"/>
      <x:c r="E7" s="60"/>
      <x:c r="F7" s="60"/>
      <x:c r="G7" s="60"/>
      <x:c r="H7" s="60"/>
    </x:row>
    <x:row r="8" ht="24" customHeight="1">
      <x:c r="A8" s="61" t="str">
        <x:v>TAF capability and implementation gate</x:v>
      </x:c>
      <x:c r="B8" s="62"/>
      <x:c r="C8" s="62"/>
      <x:c r="D8" s="62"/>
      <x:c r="E8" s="62"/>
      <x:c r="F8" s="62"/>
      <x:c r="G8" s="62"/>
      <x:c r="H8" s="63"/>
    </x:row>
    <x:row r="9" ht="34" customHeight="1">
      <x:c r="A9" s="41" t="str">
        <x:v>Capability</x:v>
      </x:c>
      <x:c r="B9" s="41" t="str">
        <x:v>TAF requirement</x:v>
      </x:c>
      <x:c r="C9" s="41" t="str">
        <x:v>Current state</x:v>
      </x:c>
      <x:c r="D9" s="41" t="str">
        <x:v>Acceptance evidence</x:v>
      </x:c>
      <x:c r="E9" s="41" t="str">
        <x:v>Capability</x:v>
      </x:c>
      <x:c r="F9" s="41" t="str">
        <x:v>TAF requirement</x:v>
      </x:c>
      <x:c r="G9" s="41" t="str">
        <x:v>Current state</x:v>
      </x:c>
      <x:c r="H9" s="41" t="str">
        <x:v>Acceptance evidence</x:v>
      </x:c>
    </x:row>
    <x:row r="10">
      <x:c r="A10" s="22" t="str">
        <x:v>Financial documents</x:v>
      </x:c>
      <x:c r="B10" s="23" t="str">
        <x:v>Process bank statements, salary slips, optional CRIB reports, and income records</x:v>
      </x:c>
      <x:c r="C10" s="23" t="str">
        <x:v>Partial</x:v>
      </x:c>
      <x:c r="D10" s="23" t="str">
        <x:v>Versioned benchmark with field-level accuracy, confidence and safe manual-review behavior</x:v>
      </x:c>
      <x:c r="E10" s="23" t="str">
        <x:v>A-E feasibility</x:v>
      </x:c>
      <x:c r="F10" s="23" t="str">
        <x:v>A/B strong, C moderate, D/E high risk</x:v>
      </x:c>
      <x:c r="G10" s="23" t="str">
        <x:v>WIP</x:v>
      </x:c>
      <x:c r="H10" s="24" t="str">
        <x:v>Approved rubric, deterministic boundary tests, explanations and escalation behavior</x:v>
      </x:c>
    </x:row>
    <x:row r="11">
      <x:c r="A11" s="48" t="str">
        <x:v>Approval prediction</x:v>
      </x:c>
      <x:c r="B11" s="49" t="str">
        <x:v>Estimate lease success probability from financial behavior and historical outcomes</x:v>
      </x:c>
      <x:c r="C11" s="49" t="str">
        <x:v>Not started</x:v>
      </x:c>
      <x:c r="D11" s="49" t="str">
        <x:v>Held-out ROC-AUC, PR-AUC, Brier score and calibration report</x:v>
      </x:c>
      <x:c r="E11" s="49" t="str">
        <x:v>Historical case analysis</x:v>
      </x:c>
      <x:c r="F11" s="49" t="str">
        <x:v>Analyze approved and rejected lease cases</x:v>
      </x:c>
      <x:c r="G11" s="49" t="str">
        <x:v>Not started</x:v>
      </x:c>
      <x:c r="H11" s="50" t="str">
        <x:v>De-identified case schema, corpus provenance and outcome rationale</x:v>
      </x:c>
    </x:row>
    <x:row r="12">
      <x:c r="A12" s="25" t="str">
        <x:v>RAG learning</x:v>
      </x:c>
      <x:c r="B12" s="26" t="str">
        <x:v>Retrieve relevant historical cases for case-based learning</x:v>
      </x:c>
      <x:c r="C12" s="26" t="str">
        <x:v>Not started</x:v>
      </x:c>
      <x:c r="D12" s="26" t="str">
        <x:v>Labeled retrieval test set with Precision@K/Recall@K and cited case IDs</x:v>
      </x:c>
      <x:c r="E12" s="26" t="str">
        <x:v>Proposal generation</x:v>
      </x:c>
      <x:c r="F12" s="26" t="str">
        <x:v>Generate structured proposals aligned with successful patterns</x:v>
      </x:c>
      <x:c r="G12" s="26" t="str">
        <x:v>Not started</x:v>
      </x:c>
      <x:c r="H12" s="27" t="str">
        <x:v>Constraint-valid structured output, grounded case references, failure-safe fallback and human review</x:v>
      </x:c>
    </x:row>
    <x:row r="13">
      <x:c r="A13" s="60"/>
      <x:c r="B13" s="60"/>
      <x:c r="C13" s="60"/>
      <x:c r="D13" s="60"/>
      <x:c r="E13" s="60"/>
      <x:c r="F13" s="60"/>
      <x:c r="G13" s="60"/>
      <x:c r="H13" s="60"/>
    </x:row>
    <x:row r="14" ht="24" customHeight="1">
      <x:c r="A14" s="61" t="str">
        <x:v>Immediate execution order</x:v>
      </x:c>
      <x:c r="B14" s="62"/>
      <x:c r="C14" s="62"/>
      <x:c r="D14" s="62"/>
      <x:c r="E14" s="62"/>
      <x:c r="F14" s="62"/>
      <x:c r="G14" s="62"/>
      <x:c r="H14" s="63"/>
    </x:row>
    <x:row r="15" ht="34" customHeight="1">
      <x:c r="A15" s="57" t="n">
        <x:v>1</x:v>
      </x:c>
      <x:c r="B15" s="24" t="str">
        <x:v>Reconcile the written A-E rubric with the current engine before training any model.</x:v>
      </x:c>
      <x:c r="C15" s="60"/>
      <x:c r="D15" s="41" t="str">
        <x:v>Plan status</x:v>
      </x:c>
      <x:c r="E15" s="41" t="str">
        <x:v>Count</x:v>
      </x:c>
      <x:c r="F15" s="60"/>
      <x:c r="G15" s="41" t="str">
        <x:v>Scope rule</x:v>
      </x:c>
      <x:c r="H15" s="41" t="str">
        <x:v>Plan position</x:v>
      </x:c>
    </x:row>
    <x:row r="16">
      <x:c r="A16" s="58" t="n">
        <x:v>2</x:v>
      </x:c>
      <x:c r="B16" s="50" t="str">
        <x:v>Correct input semantics: application ID, requested lease cost, monthly debt, optional CRIB, and evaluation timestamp.</x:v>
      </x:c>
      <x:c r="C16" s="60"/>
      <x:c r="D16" s="22" t="str">
        <x:v>Ready</x:v>
      </x:c>
      <x:c r="E16" s="24" t="n">
        <x:f>COUNTIF('Implementation Plan'!J5:J44,"Ready")</x:f>
        <x:v>1</x:v>
      </x:c>
      <x:c r="F16" s="60"/>
      <x:c r="G16" s="22" t="str">
        <x:v>e-Slims</x:v>
      </x:c>
      <x:c r="H16" s="24" t="str">
        <x:v>Complement the existing administration workflow; do not claim replacement.</x:v>
      </x:c>
    </x:row>
    <x:row r="17">
      <x:c r="A17" s="58" t="n">
        <x:v>3</x:v>
      </x:c>
      <x:c r="B17" s="50" t="str">
        <x:v>Raise document extraction reliability from the verified 76.0% synthetic baseline and add confidence/manual-review output.</x:v>
      </x:c>
      <x:c r="C17" s="60"/>
      <x:c r="D17" s="48" t="str">
        <x:v>Decision needed</x:v>
      </x:c>
      <x:c r="E17" s="50" t="n">
        <x:f>COUNTIF('Implementation Plan'!J5:J44,"Decision needed")</x:f>
        <x:v>1</x:v>
      </x:c>
      <x:c r="F17" s="60"/>
      <x:c r="G17" s="48" t="str">
        <x:v>Real financial data</x:v>
      </x:c>
      <x:c r="H17" s="50" t="str">
        <x:v>Use only after institutional authorization, ethics/privacy clearance and retention controls.</x:v>
      </x:c>
    </x:row>
    <x:row r="18">
      <x:c r="A18" s="58" t="n">
        <x:v>4</x:v>
      </x:c>
      <x:c r="B18" s="50" t="str">
        <x:v>Finish one secure assess-feasibility API vertical slice before ML, RAG, persistence expansion, or UI polish.</x:v>
      </x:c>
      <x:c r="C18" s="60"/>
      <x:c r="D18" s="48" t="str">
        <x:v>External gate</x:v>
      </x:c>
      <x:c r="E18" s="50" t="n">
        <x:f>COUNTIF('Implementation Plan'!J5:J44,"External gate")</x:f>
        <x:v>2</x:v>
      </x:c>
      <x:c r="F18" s="60"/>
      <x:c r="G18" s="48" t="str">
        <x:v>Synthetic results</x:v>
      </x:c>
      <x:c r="H18" s="50" t="str">
        <x:v>Valid for pipeline research; not evidence of real applicant predictive performance.</x:v>
      </x:c>
    </x:row>
    <x:row r="19">
      <x:c r="A19" s="58" t="n">
        <x:v>5</x:v>
      </x:c>
      <x:c r="B19" s="50" t="str">
        <x:v>Build the approval model and RAG pipeline with explicit synthetic-data limitations and reproducible evaluation.</x:v>
      </x:c>
      <x:c r="C19" s="60"/>
      <x:c r="D19" s="48" t="str">
        <x:v>Not started</x:v>
      </x:c>
      <x:c r="E19" s="50" t="n">
        <x:f>COUNTIF('Implementation Plan'!J5:J44,"Not started")</x:f>
        <x:v>36</x:v>
      </x:c>
      <x:c r="F19" s="60"/>
      <x:c r="G19" s="48" t="str">
        <x:v>AI decisions</x:v>
      </x:c>
      <x:c r="H19" s="50" t="str">
        <x:v>Decision support only. Manual review and appeal paths remain required.</x:v>
      </x:c>
    </x:row>
    <x:row r="20">
      <x:c r="A20" s="59" t="n">
        <x:v>6</x:v>
      </x:c>
      <x:c r="B20" s="27" t="str">
        <x:v>Add persistence, UI, cross-component events, security gates, and final research evaluation.</x:v>
      </x:c>
      <x:c r="C20" s="60"/>
      <x:c r="D20" s="25" t="str">
        <x:v>Total tasks</x:v>
      </x:c>
      <x:c r="E20" s="27" t="n">
        <x:f>COUNTA('Implementation Plan'!A5:A44)</x:f>
        <x:v>40</x:v>
      </x:c>
      <x:c r="F20" s="60"/>
      <x:c r="G20" s="25" t="str">
        <x:v>Policy limits</x:v>
      </x:c>
      <x:c r="H20" s="27" t="str">
        <x:v>Source from approved policy/legal material; do not copy unverified constants from another module.</x:v>
      </x:c>
    </x:row>
  </x:sheetData>
  <x:conditionalFormatting sqref="C10:C12">
    <x:cfRule type="containsText" dxfId="0" priority="1" operator="containsText" text="Complete"/>
    <x:cfRule type="containsText" dxfId="1" priority="2" operator="containsText" text="Implemented"/>
    <x:cfRule type="containsText" dxfId="2" priority="3" operator="containsText" text="Ready"/>
    <x:cfRule type="containsText" dxfId="3" priority="4" operator="containsText" text="Partial"/>
    <x:cfRule type="containsText" dxfId="4" priority="5" operator="containsText" text="WIP"/>
    <x:cfRule type="containsText" dxfId="5" priority="6" operator="containsText" text="Decision needed"/>
    <x:cfRule type="containsText" dxfId="6" priority="7" operator="containsText" text="External gate"/>
    <x:cfRule type="containsText" dxfId="7" priority="8" operator="containsText" text="Blocked"/>
    <x:cfRule type="containsText" dxfId="8" priority="9" operator="containsText" text="Not started"/>
  </x:conditionalFormatting>
  <x:conditionalFormatting sqref="G10:G12">
    <x:cfRule type="containsText" dxfId="9" priority="10" operator="containsText" text="Complete"/>
    <x:cfRule type="containsText" dxfId="10" priority="11" operator="containsText" text="Implemented"/>
    <x:cfRule type="containsText" dxfId="11" priority="12" operator="containsText" text="Ready"/>
    <x:cfRule type="containsText" dxfId="12" priority="13" operator="containsText" text="Partial"/>
    <x:cfRule type="containsText" dxfId="13" priority="14" operator="containsText" text="WIP"/>
    <x:cfRule type="containsText" dxfId="14" priority="15" operator="containsText" text="Decision needed"/>
    <x:cfRule type="containsText" dxfId="15" priority="16" operator="containsText" text="External gate"/>
    <x:cfRule type="containsText" dxfId="16" priority="17" operator="containsText" text="Blocked"/>
    <x:cfRule type="containsText" dxfId="17" priority="18" operator="containsText" text="Not started"/>
  </x:conditionalFormatting>
  <x:conditionalFormatting sqref="D16:D20">
    <x:cfRule type="containsText" dxfId="18" priority="19" operator="containsText" text="Complete"/>
    <x:cfRule type="containsText" dxfId="19" priority="20" operator="containsText" text="Implemented"/>
    <x:cfRule type="containsText" dxfId="20" priority="21" operator="containsText" text="Ready"/>
    <x:cfRule type="containsText" dxfId="21" priority="22" operator="containsText" text="Partial"/>
    <x:cfRule type="containsText" dxfId="22" priority="23" operator="containsText" text="WIP"/>
    <x:cfRule type="containsText" dxfId="23" priority="24" operator="containsText" text="Decision needed"/>
    <x:cfRule type="containsText" dxfId="24" priority="25" operator="containsText" text="External gate"/>
    <x:cfRule type="containsText" dxfId="25" priority="26" operator="containsText" text="Blocked"/>
    <x:cfRule type="containsText" dxfId="26" priority="27" operator="containsText" text="Not star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</x:cols>
  <x:sheetData>
    <x:row r="1" ht="28" customHeight="1">
      <x:c r="A1" s="1" t="str">
        <x:v>Current implementation state</x:v>
      </x:c>
      <x:c r="B1" s="1"/>
      <x:c r="C1" s="1"/>
      <x:c r="D1" s="1"/>
      <x:c r="E1" s="1"/>
      <x:c r="F1" s="1"/>
    </x:row>
    <x:row r="2" ht="18" customHeight="1">
      <x:c r="A2" s="3" t="str">
        <x:v>Statuses distinguish committed/verified behavior from scaffolding, uncommitted work, and absent capabilities.</x:v>
      </x:c>
      <x:c r="B2" s="3"/>
      <x:c r="C2" s="3"/>
      <x:c r="D2" s="3"/>
      <x:c r="E2" s="3"/>
      <x:c r="F2" s="3"/>
    </x:row>
    <x:row r="4" ht="34" customHeight="1">
      <x:c r="A4" s="41" t="str">
        <x:v>Workstream</x:v>
      </x:c>
      <x:c r="B4" s="41" t="str">
        <x:v>Status</x:v>
      </x:c>
      <x:c r="C4" s="41" t="str">
        <x:v>What exists</x:v>
      </x:c>
      <x:c r="D4" s="41" t="str">
        <x:v>Verified evidence</x:v>
      </x:c>
      <x:c r="E4" s="41" t="str">
        <x:v>Gap or concern</x:v>
      </x:c>
      <x:c r="F4" s="41" t="str">
        <x:v>Next action</x:v>
      </x:c>
    </x:row>
    <x:row r="5">
      <x:c r="A5" s="22" t="str">
        <x:v>Scope and output contracts</x:v>
      </x:c>
      <x:c r="B5" s="23" t="str">
        <x:v>Partial</x:v>
      </x:c>
      <x:c r="C5" s="23" t="str">
        <x:v>Scope, feature dictionary, output DTOs, synthetic schema and OCR decision documents</x:v>
      </x:c>
      <x:c r="D5" s="23" t="str">
        <x:v>Files exist under docs/ and align broadly with TAF Component 2</x:v>
      </x:c>
      <x:c r="E5" s="23" t="str">
        <x:v>Documents are inconsistent with the actual scoring engine and make unsupported OCR accuracy/cost claims</x:v>
      </x:c>
      <x:c r="F5" s="24" t="str">
        <x:v>Update one authoritative research and implementation contract</x:v>
      </x:c>
    </x:row>
    <x:row r="6">
      <x:c r="A6" s="48" t="str">
        <x:v>Domain model</x:v>
      </x:c>
      <x:c r="B6" s="49" t="str">
        <x:v>Partial</x:v>
      </x:c>
      <x:c r="C6" s="49" t="str">
        <x:v>Enums, assessment and proposal entities, value objects, domain events and engine interfaces</x:v>
      </x:c>
      <x:c r="D6" s="49" t="str">
        <x:v>Domain tests are included in the 44 passing tests</x:v>
      </x:c>
      <x:c r="E6" s="49" t="str">
        <x:v>FinancialProfile bypasses validation; IncomeProfile duplicates part of it; object-typed engine inputs are not safe contracts</x:v>
      </x:c>
      <x:c r="F6" s="50" t="str">
        <x:v>Consolidate validated domain inputs and typed service contracts</x:v>
      </x:c>
    </x:row>
    <x:row r="7">
      <x:c r="A7" s="48" t="str">
        <x:v>Synthetic applicant generator</x:v>
      </x:c>
      <x:c r="B7" s="49" t="str">
        <x:v>Partial</x:v>
      </x:c>
      <x:c r="C7" s="49" t="str">
        <x:v>Python generator for 1,000 applicant/outcome rows</x:v>
      </x:c>
      <x:c r="D7" s="49" t="str">
        <x:v>Generator code is committed</x:v>
      </x:c>
      <x:c r="E7" s="49" t="str">
        <x:v>No generated dataset is present; no fixed seed/version; grades are sampled before correlated features, so evaluation may overstate validity</x:v>
      </x:c>
      <x:c r="F7" s="50" t="str">
        <x:v>Add deterministic seed, data card, provenance, leakage review and versioned output</x:v>
      </x:c>
    </x:row>
    <x:row r="8">
      <x:c r="A8" s="48" t="str">
        <x:v>Document OCR and extraction</x:v>
      </x:c>
      <x:c r="B8" s="49" t="str">
        <x:v>Partial</x:v>
      </x:c>
      <x:c r="C8" s="49" t="str">
        <x:v>Azure Document Intelligence client, mock mode, regex field extraction for bank, salary and CRIB documents</x:v>
      </x:c>
      <x:c r="D8" s="49" t="str">
        <x:v>24-document batch: 73/96 fields, 76.0%</x:v>
      </x:c>
      <x:c r="E8" s="49" t="str">
        <x:v>Generic prebuilt-document text plus brittle regex; no confidence output; CRIB is mandatory in command despite being optional in TAF</x:v>
      </x:c>
      <x:c r="F8" s="50" t="str">
        <x:v>Separate OCR transport and parsers, add confidence/manual review, improve benchmark</x:v>
      </x:c>
    </x:row>
    <x:row r="9">
      <x:c r="A9" s="48" t="str">
        <x:v>PII and document security</x:v>
      </x:c>
      <x:c r="B9" s="49" t="str">
        <x:v>Partial</x:v>
      </x:c>
      <x:c r="C9" s="49" t="str">
        <x:v>Masked logging payload for applicant/employer identifiers</x:v>
      </x:c>
      <x:c r="D9" s="49" t="str">
        <x:v>PiiMasker unit tests pass</x:v>
      </x:c>
      <x:c r="E9" s="49" t="str">
        <x:v>No upload type/size validation, malware gate, URI/SSRF control, retention policy, encryption or authorization path</x:v>
      </x:c>
      <x:c r="F9" s="50" t="str">
        <x:v>Create threat model and secure ingestion/retention design before real data</x:v>
      </x:c>
    </x:row>
    <x:row r="10">
      <x:c r="A10" s="48" t="str">
        <x:v>Assessment command</x:v>
      </x:c>
      <x:c r="B10" s="49" t="str">
        <x:v>Partial</x:v>
      </x:c>
      <x:c r="C10" s="49" t="str">
        <x:v>Extracts three documents, builds a profile, calls scoring engine and repository, maps result DTO</x:v>
      </x:c>
      <x:c r="D10" s="49" t="str">
        <x:v>Handler unit test passes</x:v>
      </x:c>
      <x:c r="E10" s="49" t="str">
        <x:v>Validator is not invoked; income consistency is hard-coded to 0.85; persisted assessment receives ApplicantId as ApplicationId; input timestamp is ignored</x:v>
      </x:c>
      <x:c r="F10" s="50" t="str">
        <x:v>Fix contracts, validation, identifiers and deterministic time handling</x:v>
      </x:c>
    </x:row>
    <x:row r="11">
      <x:c r="A11" s="48" t="str">
        <x:v>Deterministic A-E scoring</x:v>
      </x:c>
      <x:c r="B11" s="49" t="str">
        <x:v>WIP</x:v>
      </x:c>
      <x:c r="C11" s="49" t="str">
        <x:v>Weighted scoring engine with grade mapping and factor breakdown</x:v>
      </x:c>
      <x:c r="D11" s="49" t="str">
        <x:v>Committed engine builds; uncommitted 80/60/40/20 boundary tests pass</x:v>
      </x:c>
      <x:c r="E11" s="49" t="str">
        <x:v>Written rubric says 85/70/50/30 and different weights; lease cost is proxied by savings; debt is assumed as 5% of total; overdrafts are ignored</x:v>
      </x:c>
      <x:c r="F11" s="50" t="str">
        <x:v>Supervisor-approved scoring decision, then implement and lock boundary tests</x:v>
      </x:c>
    </x:row>
    <x:row r="12">
      <x:c r="A12" s="48" t="str">
        <x:v>Approval prediction</x:v>
      </x:c>
      <x:c r="B12" s="49" t="str">
        <x:v>Not started</x:v>
      </x:c>
      <x:c r="C12" s="49" t="str">
        <x:v>Interface, DTO and handler shell</x:v>
      </x:c>
      <x:c r="D12" s="49" t="str">
        <x:v>Handler throws NotImplementedException</x:v>
      </x:c>
      <x:c r="E12" s="49" t="str">
        <x:v>No dataset pipeline, model, calibration, metrics or runtime wrapper</x:v>
      </x:c>
      <x:c r="F12" s="50" t="str">
        <x:v>Implement only after data contract and split strategy are frozen</x:v>
      </x:c>
    </x:row>
    <x:row r="13">
      <x:c r="A13" s="48" t="str">
        <x:v>Historical case retrieval and RAG</x:v>
      </x:c>
      <x:c r="B13" s="49" t="str">
        <x:v>Not started</x:v>
      </x:c>
      <x:c r="C13" s="49" t="str">
        <x:v>Repository and optimizer interface placeholders</x:v>
      </x:c>
      <x:c r="D13" s="49" t="str">
        <x:v>No corpus, embedding, retrieval service or evaluation artifacts</x:v>
      </x:c>
      <x:c r="E13" s="49" t="str">
        <x:v>Interfaces use object; no provenance, citations, prompt safety or relevance metrics</x:v>
      </x:c>
      <x:c r="F13" s="50" t="str">
        <x:v>Create typed case schema and evaluated retrieval pipeline</x:v>
      </x:c>
    </x:row>
    <x:row r="14">
      <x:c r="A14" s="48" t="str">
        <x:v>Proposal generation</x:v>
      </x:c>
      <x:c r="B14" s="49" t="str">
        <x:v>Not started</x:v>
      </x:c>
      <x:c r="C14" s="49" t="str">
        <x:v>LeaseProposal entity and DTO plus handler shell</x:v>
      </x:c>
      <x:c r="D14" s="49" t="str">
        <x:v>Handler throws NotImplementedException</x:v>
      </x:c>
      <x:c r="E14" s="49" t="str">
        <x:v>No structured LLM output, policy constraints, retry/fallback, grounding or human review</x:v>
      </x:c>
      <x:c r="F14" s="50" t="str">
        <x:v>Implement constraint-first generator after retrieval is validated</x:v>
      </x:c>
    </x:row>
    <x:row r="15">
      <x:c r="A15" s="48" t="str">
        <x:v>Persistence</x:v>
      </x:c>
      <x:c r="B15" s="49" t="str">
        <x:v>Not started</x:v>
      </x:c>
      <x:c r="C15" s="49" t="str">
        <x:v>Repository interfaces only</x:v>
      </x:c>
      <x:c r="D15" s="49" t="str">
        <x:v>Infrastructure persistence folder contains placeholder only</x:v>
      </x:c>
      <x:c r="E15" s="49" t="str">
        <x:v>No DbContext, migrations, mappings or repositories</x:v>
      </x:c>
      <x:c r="F15" s="50" t="str">
        <x:v>Add separate lease_feasibility schema after domain contracts stabilize</x:v>
      </x:c>
    </x:row>
    <x:row r="16">
      <x:c r="A16" s="48" t="str">
        <x:v>API registration and endpoints</x:v>
      </x:c>
      <x:c r="B16" s="49" t="str">
        <x:v>Not started</x:v>
      </x:c>
      <x:c r="C16" s="49" t="str">
        <x:v>Presentation project exists</x:v>
      </x:c>
      <x:c r="D16" s="49" t="str">
        <x:v>API builds but Program.cs has no LeaseFeasibility registration; controller folder is empty</x:v>
      </x:c>
      <x:c r="E16" s="49" t="str">
        <x:v>No assess, predict or proposal endpoint; no Swagger group or auth policy</x:v>
      </x:c>
      <x:c r="F16" s="50" t="str">
        <x:v>Deliver a secure assess endpoint first, then the other two</x:v>
      </x:c>
    </x:row>
    <x:row r="17">
      <x:c r="A17" s="48" t="str">
        <x:v>Component 2 web UI</x:v>
      </x:c>
      <x:c r="B17" s="49" t="str">
        <x:v>Not started</x:v>
      </x:c>
      <x:c r="C17" s="49" t="str">
        <x:v>Route and module folders exist</x:v>
      </x:c>
      <x:c r="D17" s="49" t="str">
        <x:v>Page displays a coming-soon placeholder</x:v>
      </x:c>
      <x:c r="E17" s="49" t="str">
        <x:v>No upload, results, error states, traceability or review workflow</x:v>
      </x:c>
      <x:c r="F17" s="50" t="str">
        <x:v>Build UI after stable API contracts</x:v>
      </x:c>
    </x:row>
    <x:row r="18">
      <x:c r="A18" s="48" t="str">
        <x:v>Tests and build</x:v>
      </x:c>
      <x:c r="B18" s="49" t="str">
        <x:v>Partial</x:v>
      </x:c>
      <x:c r="C18" s="49" t="str">
        <x:v>Domain, handler, OCR and PII unit tests</x:v>
      </x:c>
      <x:c r="D18" s="49" t="str">
        <x:v>44 tests passed; API build passed with 0 warnings and 0 errors</x:v>
      </x:c>
      <x:c r="E18" s="49" t="str">
        <x:v>Mostly mock/unit coverage; no database, API, authorization, real OCR, ML, RAG or browser E2E tests</x:v>
      </x:c>
      <x:c r="F18" s="50" t="str">
        <x:v>Add tests with each vertical slice and final end-to-end evidence</x:v>
      </x:c>
    </x:row>
    <x:row r="19">
      <x:c r="A19" s="25" t="str">
        <x:v>Data access and ethics</x:v>
      </x:c>
      <x:c r="B19" s="26" t="str">
        <x:v>External gate</x:v>
      </x:c>
      <x:c r="C19" s="26" t="str">
        <x:v>TAF permits synthetic data when real data is unavailable</x:v>
      </x:c>
      <x:c r="D19" s="26" t="str">
        <x:v>No verified institutional data access or ethics approval in the branch</x:v>
      </x:c>
      <x:c r="E19" s="26" t="str">
        <x:v>Real banking/CRIB/approval data cannot be assumed</x:v>
      </x:c>
      <x:c r="F19" s="27" t="str">
        <x:v>Keep research synthetic/de-identified until written authorization and ethics/privacy clearance</x:v>
      </x:c>
    </x:row>
  </x:sheetData>
  <x:conditionalFormatting sqref="B5:B19">
    <x:cfRule type="containsText" dxfId="27" priority="1" operator="containsText" text="Complete"/>
    <x:cfRule type="containsText" dxfId="28" priority="2" operator="containsText" text="Implemented"/>
    <x:cfRule type="containsText" dxfId="29" priority="3" operator="containsText" text="Ready"/>
    <x:cfRule type="containsText" dxfId="30" priority="4" operator="containsText" text="Partial"/>
    <x:cfRule type="containsText" dxfId="31" priority="5" operator="containsText" text="WIP"/>
    <x:cfRule type="containsText" dxfId="32" priority="6" operator="containsText" text="Decision needed"/>
    <x:cfRule type="containsText" dxfId="33" priority="7" operator="containsText" text="External gate"/>
    <x:cfRule type="containsText" dxfId="34" priority="8" operator="containsText" text="Blocked"/>
    <x:cfRule type="containsText" dxfId="35" priority="9" operator="containsText" text="Not star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9" hidden="0" customWidth="1"/>
    <x:col min="4" max="4" width="12" hidden="0" customWidth="1"/>
    <x:col min="5" max="5" width="55" hidden="0" customWidth="1"/>
    <x:col min="6" max="6" width="38" hidden="0" customWidth="1"/>
    <x:col min="7" max="7" width="52" hidden="0" customWidth="1"/>
    <x:col min="8" max="8" width="30" hidden="0" customWidth="1"/>
    <x:col min="9" max="9" width="28" hidden="0" customWidth="1"/>
    <x:col min="10" max="10" width="18" hidden="0" customWidth="1"/>
  </x:cols>
  <x:sheetData>
    <x:row r="1" ht="28" customHeight="1">
      <x:c r="A1" s="1" t="str">
        <x:v>Remaining implementation plan - 40 working days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18" customHeight="1">
      <x:c r="A2" s="3" t="str">
        <x:v>Run sequentially by gate. Estimates assume one primary developer with Antigravity assistance; external approvals and real-data acquisition are not included in the 40-day engineering estimate.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4" customHeight="1">
      <x:c r="A4" s="41" t="str">
        <x:v>Seq</x:v>
      </x:c>
      <x:c r="B4" s="41" t="str">
        <x:v>Phase</x:v>
      </x:c>
      <x:c r="C4" s="41" t="str">
        <x:v>Day</x:v>
      </x:c>
      <x:c r="D4" s="41" t="str">
        <x:v>Priority</x:v>
      </x:c>
      <x:c r="E4" s="41" t="str">
        <x:v>Task</x:v>
      </x:c>
      <x:c r="F4" s="41" t="str">
        <x:v>Deliverable</x:v>
      </x:c>
      <x:c r="G4" s="41" t="str">
        <x:v>Acceptance gate</x:v>
      </x:c>
      <x:c r="H4" s="41" t="str">
        <x:v>Depends on</x:v>
      </x:c>
      <x:c r="I4" s="41" t="str">
        <x:v>Antigravity mode</x:v>
      </x:c>
      <x:c r="J4" s="41" t="str">
        <x:v>Status</x:v>
      </x:c>
    </x:row>
    <x:row r="5">
      <x:c r="A5" s="64" t="n">
        <x:v>1</x:v>
      </x:c>
      <x:c r="B5" s="71" t="str">
        <x:v>0. Baseline and contracts</x:v>
      </x:c>
      <x:c r="C5" s="67" t="str">
        <x:v>1</x:v>
      </x:c>
      <x:c r="D5" s="67" t="str">
        <x:v>Critical</x:v>
      </x:c>
      <x:c r="E5" s="23" t="str">
        <x:v>Capture a clean baseline of Component 2 commits, preserve the current dirty scoring work, and record commands/results used for verification.</x:v>
      </x:c>
      <x:c r="F5" s="23" t="str">
        <x:v>Branch snapshot and baseline note</x:v>
      </x:c>
      <x:c r="G5" s="23" t="str">
        <x:v>Dirty work is preserved; Component 2 tests and API build are repeatable</x:v>
      </x:c>
      <x:c r="H5" s="23" t="str">
        <x:v>None</x:v>
      </x:c>
      <x:c r="I5" s="23" t="str">
        <x:v>Review-driven</x:v>
      </x:c>
      <x:c r="J5" s="24" t="str">
        <x:v>Ready</x:v>
      </x:c>
    </x:row>
    <x:row r="6">
      <x:c r="A6" s="65" t="n">
        <x:v>2</x:v>
      </x:c>
      <x:c r="B6" s="73" t="str">
        <x:v>0. Baseline and contracts</x:v>
      </x:c>
      <x:c r="C6" s="68" t="str">
        <x:v>2</x:v>
      </x:c>
      <x:c r="D6" s="68" t="str">
        <x:v>Critical</x:v>
      </x:c>
      <x:c r="E6" s="49" t="str">
        <x:v>Reconcile the A-E thresholds, weights, penalties and actions between feasibility-rubric.md, the engine and the uncommitted tests.</x:v>
      </x:c>
      <x:c r="F6" s="49" t="str">
        <x:v>Scoring decision record and updated rubric</x:v>
      </x:c>
      <x:c r="G6" s="49" t="str">
        <x:v>One approved table defines A-E boundaries, weights, C review and D/E escalation</x:v>
      </x:c>
      <x:c r="H6" s="49" t="str">
        <x:v>Supervisor/domain decision</x:v>
      </x:c>
      <x:c r="I6" s="49" t="str">
        <x:v>Chat first, then review diff</x:v>
      </x:c>
      <x:c r="J6" s="50" t="str">
        <x:v>Decision needed</x:v>
      </x:c>
    </x:row>
    <x:row r="7">
      <x:c r="A7" s="65" t="n">
        <x:v>3</x:v>
      </x:c>
      <x:c r="B7" s="73" t="str">
        <x:v>0. Baseline and contracts</x:v>
      </x:c>
      <x:c r="C7" s="68" t="str">
        <x:v>3</x:v>
      </x:c>
      <x:c r="D7" s="68" t="str">
        <x:v>Critical</x:v>
      </x:c>
      <x:c r="E7" s="49" t="str">
        <x:v>Replace proxy/ambiguous inputs with explicit semantics: application ID, applicant ID, requested rent or lease cost, monthly debt obligation, statement period and optional CRIB.</x:v>
      </x:c>
      <x:c r="F7" s="49" t="str">
        <x:v>Typed input contracts and feature dictionary</x:v>
      </x:c>
      <x:c r="G7" s="49" t="str">
        <x:v>Every scoring input has unit, period, source and validation rule</x:v>
      </x:c>
      <x:c r="H7" s="49" t="str">
        <x:v>Task 2</x:v>
      </x:c>
      <x:c r="I7" s="49" t="str">
        <x:v>Review-driven</x:v>
      </x:c>
      <x:c r="J7" s="50" t="str">
        <x:v>Not started</x:v>
      </x:c>
    </x:row>
    <x:row r="8">
      <x:c r="A8" s="65" t="n">
        <x:v>4</x:v>
      </x:c>
      <x:c r="B8" s="73" t="str">
        <x:v>0. Baseline and contracts</x:v>
      </x:c>
      <x:c r="C8" s="68" t="str">
        <x:v>4</x:v>
      </x:c>
      <x:c r="D8" s="68" t="str">
        <x:v>Critical</x:v>
      </x:c>
      <x:c r="E8" s="49" t="str">
        <x:v>Define data governance: synthetic-only default, consent/authority, retention, encryption, access roles, redaction and audit metadata.</x:v>
      </x:c>
      <x:c r="F8" s="49" t="str">
        <x:v>Data protection and ethics checklist</x:v>
      </x:c>
      <x:c r="G8" s="49" t="str">
        <x:v>No real financial document can enter the system without an approved control path</x:v>
      </x:c>
      <x:c r="H8" s="49" t="str">
        <x:v>Institutional/ethics guidance</x:v>
      </x:c>
      <x:c r="I8" s="49" t="str">
        <x:v>Human-owned decision</x:v>
      </x:c>
      <x:c r="J8" s="50" t="str">
        <x:v>External gate</x:v>
      </x:c>
    </x:row>
    <x:row r="9">
      <x:c r="A9" s="65" t="n">
        <x:v>5</x:v>
      </x:c>
      <x:c r="B9" s="75" t="str">
        <x:v>1. Document intelligence</x:v>
      </x:c>
      <x:c r="C9" s="68" t="str">
        <x:v>5</x:v>
      </x:c>
      <x:c r="D9" s="68" t="str">
        <x:v>High</x:v>
      </x:c>
      <x:c r="E9" s="49" t="str">
        <x:v>Split the OCR provider client from document-specific field extraction and normalization.</x:v>
      </x:c>
      <x:c r="F9" s="49" t="str">
        <x:v>IOcrTextProvider plus typed extractors</x:v>
      </x:c>
      <x:c r="G9" s="49" t="str">
        <x:v>Mock and Azure providers can be tested independently; Domain remains framework-free</x:v>
      </x:c>
      <x:c r="H9" s="49" t="str">
        <x:v>Task 3</x:v>
      </x:c>
      <x:c r="I9" s="49" t="str">
        <x:v>Agent-assisted, review diff</x:v>
      </x:c>
      <x:c r="J9" s="50" t="str">
        <x:v>Not started</x:v>
      </x:c>
    </x:row>
    <x:row r="10">
      <x:c r="A10" s="65" t="n">
        <x:v>6</x:v>
      </x:c>
      <x:c r="B10" s="75" t="str">
        <x:v>1. Document intelligence</x:v>
      </x:c>
      <x:c r="C10" s="68" t="str">
        <x:v>6</x:v>
      </x:c>
      <x:c r="D10" s="68" t="str">
        <x:v>Critical</x:v>
      </x:c>
      <x:c r="E10" s="49" t="str">
        <x:v>Secure document ingestion: allowlisted file types, size/page limits, safe temporary storage, URI/SSRF prevention, malware hook and secrets validation.</x:v>
      </x:c>
      <x:c r="F10" s="49" t="str">
        <x:v>Secure ingestion policy and validators</x:v>
      </x:c>
      <x:c r="G10" s="49" t="str">
        <x:v>Unsafe URI/file inputs fail before OCR; non-test deployments reject dummy credentials</x:v>
      </x:c>
      <x:c r="H10" s="49" t="str">
        <x:v>Task 4</x:v>
      </x:c>
      <x:c r="I10" s="49" t="str">
        <x:v>Review-driven</x:v>
      </x:c>
      <x:c r="J10" s="50" t="str">
        <x:v>Not started</x:v>
      </x:c>
    </x:row>
    <x:row r="11">
      <x:c r="A11" s="65" t="n">
        <x:v>7</x:v>
      </x:c>
      <x:c r="B11" s="75" t="str">
        <x:v>1. Document intelligence</x:v>
      </x:c>
      <x:c r="C11" s="68" t="str">
        <x:v>7</x:v>
      </x:c>
      <x:c r="D11" s="68" t="str">
        <x:v>High</x:v>
      </x:c>
      <x:c r="E11" s="49" t="str">
        <x:v>Return field-level source, confidence and validation errors; support absent CRIB as an explicit state rather than a guessed value.</x:v>
      </x:c>
      <x:c r="F11" s="49" t="str">
        <x:v>ExtractionResult DTOs</x:v>
      </x:c>
      <x:c r="G11" s="49" t="str">
        <x:v>Low-confidence/missing fields route to manual review and never receive plausible defaults</x:v>
      </x:c>
      <x:c r="H11" s="49" t="str">
        <x:v>Tasks 3,5</x:v>
      </x:c>
      <x:c r="I11" s="49" t="str">
        <x:v>Review-driven</x:v>
      </x:c>
      <x:c r="J11" s="50" t="str">
        <x:v>Not started</x:v>
      </x:c>
    </x:row>
    <x:row r="12">
      <x:c r="A12" s="65" t="n">
        <x:v>8</x:v>
      </x:c>
      <x:c r="B12" s="75" t="str">
        <x:v>1. Document intelligence</x:v>
      </x:c>
      <x:c r="C12" s="68" t="str">
        <x:v>8</x:v>
      </x:c>
      <x:c r="D12" s="68" t="str">
        <x:v>High</x:v>
      </x:c>
      <x:c r="E12" s="49" t="str">
        <x:v>Improve salary, bank and CRIB parsing or use structured Azure fields; create a versioned ground-truth benchmark by document type.</x:v>
      </x:c>
      <x:c r="F12" s="49" t="str">
        <x:v>Parser improvements and benchmark dataset</x:v>
      </x:c>
      <x:c r="G12" s="49" t="str">
        <x:v>Every expected field has ground truth and traceable extraction result</x:v>
      </x:c>
      <x:c r="H12" s="49" t="str">
        <x:v>Tasks 5,7</x:v>
      </x:c>
      <x:c r="I12" s="49" t="str">
        <x:v>Agent for tests; human reviews rules</x:v>
      </x:c>
      <x:c r="J12" s="50" t="str">
        <x:v>Not started</x:v>
      </x:c>
    </x:row>
    <x:row r="13">
      <x:c r="A13" s="65" t="n">
        <x:v>9</x:v>
      </x:c>
      <x:c r="B13" s="75" t="str">
        <x:v>1. Document intelligence</x:v>
      </x:c>
      <x:c r="C13" s="68" t="str">
        <x:v>9</x:v>
      </x:c>
      <x:c r="D13" s="68" t="str">
        <x:v>High</x:v>
      </x:c>
      <x:c r="E13" s="49" t="str">
        <x:v>Run the benchmark and publish per-field/per-document precision, recall and exact-match results.</x:v>
      </x:c>
      <x:c r="F13" s="49" t="str">
        <x:v>OCR evaluation report</x:v>
      </x:c>
      <x:c r="G13" s="49" t="str">
        <x:v>Provisional gate: at least 90% exact field accuracy on versioned synthetic templates; real-document performance reported separately</x:v>
      </x:c>
      <x:c r="H13" s="49" t="str">
        <x:v>Task 8</x:v>
      </x:c>
      <x:c r="I13" s="49" t="str">
        <x:v>Agent runs; human interprets</x:v>
      </x:c>
      <x:c r="J13" s="50" t="str">
        <x:v>Not started</x:v>
      </x:c>
    </x:row>
    <x:row r="14">
      <x:c r="A14" s="65" t="n">
        <x:v>10</x:v>
      </x:c>
      <x:c r="B14" s="77" t="str">
        <x:v>2. Deterministic vertical slice</x:v>
      </x:c>
      <x:c r="C14" s="68" t="str">
        <x:v>10</x:v>
      </x:c>
      <x:c r="D14" s="68" t="str">
        <x:v>Critical</x:v>
      </x:c>
      <x:c r="E14" s="49" t="str">
        <x:v>Consolidate FinancialProfile/IncomeProfile into validated domain input value objects and replace object-typed engine contracts.</x:v>
      </x:c>
      <x:c r="F14" s="49" t="str">
        <x:v>Validated typed domain contracts</x:v>
      </x:c>
      <x:c r="G14" s="49" t="str">
        <x:v>Invalid units, ranges and required identifiers fail deterministically</x:v>
      </x:c>
      <x:c r="H14" s="49" t="str">
        <x:v>Tasks 2,3</x:v>
      </x:c>
      <x:c r="I14" s="49" t="str">
        <x:v>Review-driven</x:v>
      </x:c>
      <x:c r="J14" s="50" t="str">
        <x:v>Not started</x:v>
      </x:c>
    </x:row>
    <x:row r="15">
      <x:c r="A15" s="65" t="n">
        <x:v>11</x:v>
      </x:c>
      <x:c r="B15" s="77" t="str">
        <x:v>2. Deterministic vertical slice</x:v>
      </x:c>
      <x:c r="C15" s="68" t="str">
        <x:v>11</x:v>
      </x:c>
      <x:c r="D15" s="68" t="str">
        <x:v>Critical</x:v>
      </x:c>
      <x:c r="E15" s="49" t="str">
        <x:v>Correct application/applicant ID mapping and make generated timestamps come from TimeProvider.</x:v>
      </x:c>
      <x:c r="F15" s="49" t="str">
        <x:v>Deterministic entity construction</x:v>
      </x:c>
      <x:c r="G15" s="49" t="str">
        <x:v>Persisted and returned IDs/timestamps match the command and test clock</x:v>
      </x:c>
      <x:c r="H15" s="49" t="str">
        <x:v>Task 10</x:v>
      </x:c>
      <x:c r="I15" s="49" t="str">
        <x:v>Agent-assisted</x:v>
      </x:c>
      <x:c r="J15" s="50" t="str">
        <x:v>Not started</x:v>
      </x:c>
    </x:row>
    <x:row r="16">
      <x:c r="A16" s="65" t="n">
        <x:v>12</x:v>
      </x:c>
      <x:c r="B16" s="77" t="str">
        <x:v>2. Deterministic vertical slice</x:v>
      </x:c>
      <x:c r="C16" s="68" t="str">
        <x:v>12</x:v>
      </x:c>
      <x:c r="D16" s="68" t="str">
        <x:v>Critical</x:v>
      </x:c>
      <x:c r="E16" s="49" t="str">
        <x:v>Implement the approved affordability, income consistency, debt, employment, credit and penalty rules without undocumented proxies.</x:v>
      </x:c>
      <x:c r="F16" s="49" t="str">
        <x:v>Final deterministic scoring engine</x:v>
      </x:c>
      <x:c r="G16" s="49" t="str">
        <x:v>Worked rubric examples and every grade boundary pass</x:v>
      </x:c>
      <x:c r="H16" s="49" t="str">
        <x:v>Tasks 2,10</x:v>
      </x:c>
      <x:c r="I16" s="49" t="str">
        <x:v>Review-driven</x:v>
      </x:c>
      <x:c r="J16" s="50" t="str">
        <x:v>Not started</x:v>
      </x:c>
    </x:row>
    <x:row r="17">
      <x:c r="A17" s="65" t="n">
        <x:v>13</x:v>
      </x:c>
      <x:c r="B17" s="77" t="str">
        <x:v>2. Deterministic vertical slice</x:v>
      </x:c>
      <x:c r="C17" s="68" t="str">
        <x:v>13</x:v>
      </x:c>
      <x:c r="D17" s="68" t="str">
        <x:v>High</x:v>
      </x:c>
      <x:c r="E17" s="49" t="str">
        <x:v>Add specific explanations, recommended actions, manual-review reasons and D/E escalation intent.</x:v>
      </x:c>
      <x:c r="F17" s="49" t="str">
        <x:v>Explainable assessment result</x:v>
      </x:c>
      <x:c r="G17" s="49" t="str">
        <x:v>Every factor cites input and rule; C and D/E behavior is explicit</x:v>
      </x:c>
      <x:c r="H17" s="49" t="str">
        <x:v>Task 12</x:v>
      </x:c>
      <x:c r="I17" s="49" t="str">
        <x:v>Review-driven</x:v>
      </x:c>
      <x:c r="J17" s="50" t="str">
        <x:v>Not started</x:v>
      </x:c>
    </x:row>
    <x:row r="18">
      <x:c r="A18" s="65" t="n">
        <x:v>14</x:v>
      </x:c>
      <x:c r="B18" s="77" t="str">
        <x:v>2. Deterministic vertical slice</x:v>
      </x:c>
      <x:c r="C18" s="68" t="str">
        <x:v>14</x:v>
      </x:c>
      <x:c r="D18" s="68" t="str">
        <x:v>Critical</x:v>
      </x:c>
      <x:c r="E18" s="49" t="str">
        <x:v>Wire validator, in-memory repository, DI and POST /assess-feasibility; add handler/API tests and safe error mapping.</x:v>
      </x:c>
      <x:c r="F18" s="49" t="str">
        <x:v>First usable API vertical slice</x:v>
      </x:c>
      <x:c r="G18" s="49" t="str">
        <x:v>Valid synthetic documents return an assessment; malformed/unsafe inputs fail safely</x:v>
      </x:c>
      <x:c r="H18" s="49" t="str">
        <x:v>Tasks 6,7,11,13</x:v>
      </x:c>
      <x:c r="I18" s="49" t="str">
        <x:v>Review-driven</x:v>
      </x:c>
      <x:c r="J18" s="50" t="str">
        <x:v>Not started</x:v>
      </x:c>
    </x:row>
    <x:row r="19">
      <x:c r="A19" s="65" t="n">
        <x:v>15</x:v>
      </x:c>
      <x:c r="B19" s="79" t="str">
        <x:v>3. Reproducible data and ML</x:v>
      </x:c>
      <x:c r="C19" s="68" t="str">
        <x:v>15</x:v>
      </x:c>
      <x:c r="D19" s="68" t="str">
        <x:v>High</x:v>
      </x:c>
      <x:c r="E19" s="49" t="str">
        <x:v>Make synthetic generation reproducible with fixed seeds, version metadata, data dictionary and distribution checks.</x:v>
      </x:c>
      <x:c r="F19" s="49" t="str">
        <x:v>Versioned synthetic dataset package</x:v>
      </x:c>
      <x:c r="G19" s="49" t="str">
        <x:v>Same seed reproduces the same rows and class balance</x:v>
      </x:c>
      <x:c r="H19" s="49" t="str">
        <x:v>Task 3</x:v>
      </x:c>
      <x:c r="I19" s="49" t="str">
        <x:v>Agent for glue code</x:v>
      </x:c>
      <x:c r="J19" s="50" t="str">
        <x:v>Not started</x:v>
      </x:c>
    </x:row>
    <x:row r="20">
      <x:c r="A20" s="65" t="n">
        <x:v>16</x:v>
      </x:c>
      <x:c r="B20" s="79" t="str">
        <x:v>3. Reproducible data and ML</x:v>
      </x:c>
      <x:c r="C20" s="68" t="str">
        <x:v>16</x:v>
      </x:c>
      <x:c r="D20" s="68" t="str">
        <x:v>Critical</x:v>
      </x:c>
      <x:c r="E20" s="49" t="str">
        <x:v>Audit label leakage and define train/validation/test grouping; separate deterministic grade labels from historical approval outcomes.</x:v>
      </x:c>
      <x:c r="F20" s="49" t="str">
        <x:v>Pre-registered split and label strategy</x:v>
      </x:c>
      <x:c r="G20" s="49" t="str">
        <x:v>No direct target leakage; untouched test split is frozen</x:v>
      </x:c>
      <x:c r="H20" s="49" t="str">
        <x:v>Task 15</x:v>
      </x:c>
      <x:c r="I20" s="49" t="str">
        <x:v>Human-owned methodology</x:v>
      </x:c>
      <x:c r="J20" s="50" t="str">
        <x:v>Not started</x:v>
      </x:c>
    </x:row>
    <x:row r="21">
      <x:c r="A21" s="65" t="n">
        <x:v>17</x:v>
      </x:c>
      <x:c r="B21" s="79" t="str">
        <x:v>3. Reproducible data and ML</x:v>
      </x:c>
      <x:c r="C21" s="68" t="str">
        <x:v>17</x:v>
      </x:c>
      <x:c r="D21" s="68" t="str">
        <x:v>Medium</x:v>
      </x:c>
      <x:c r="E21" s="49" t="str">
        <x:v>Train A-E baseline models only as a research comparator to the deterministic engine.</x:v>
      </x:c>
      <x:c r="F21" s="49" t="str">
        <x:v>Baseline classifier results</x:v>
      </x:c>
      <x:c r="G21" s="49" t="str">
        <x:v>Accuracy, macro-F1, QWK and per-class recall reported on validation</x:v>
      </x:c>
      <x:c r="H21" s="49" t="str">
        <x:v>Task 16</x:v>
      </x:c>
      <x:c r="I21" s="49" t="str">
        <x:v>Agent for code; human interprets</x:v>
      </x:c>
      <x:c r="J21" s="50" t="str">
        <x:v>Not started</x:v>
      </x:c>
    </x:row>
    <x:row r="22">
      <x:c r="A22" s="65" t="n">
        <x:v>18</x:v>
      </x:c>
      <x:c r="B22" s="79" t="str">
        <x:v>3. Reproducible data and ML</x:v>
      </x:c>
      <x:c r="C22" s="68" t="str">
        <x:v>18</x:v>
      </x:c>
      <x:c r="D22" s="68" t="str">
        <x:v>High</x:v>
      </x:c>
      <x:c r="E22" s="49" t="str">
        <x:v>Train the distinct approval-probability baseline using outcome labels and leakage-safe features.</x:v>
      </x:c>
      <x:c r="F22" s="49" t="str">
        <x:v>Approval baseline model</x:v>
      </x:c>
      <x:c r="G22" s="49" t="str">
        <x:v>ROC-AUC, PR-AUC, Brier score and calibration curve produced</x:v>
      </x:c>
      <x:c r="H22" s="49" t="str">
        <x:v>Task 16</x:v>
      </x:c>
      <x:c r="I22" s="49" t="str">
        <x:v>Agent for code; human interprets</x:v>
      </x:c>
      <x:c r="J22" s="50" t="str">
        <x:v>Not started</x:v>
      </x:c>
    </x:row>
    <x:row r="23">
      <x:c r="A23" s="65" t="n">
        <x:v>19</x:v>
      </x:c>
      <x:c r="B23" s="79" t="str">
        <x:v>3. Reproducible data and ML</x:v>
      </x:c>
      <x:c r="C23" s="68" t="str">
        <x:v>19</x:v>
      </x:c>
      <x:c r="D23" s="68" t="str">
        <x:v>High</x:v>
      </x:c>
      <x:c r="E23" s="49" t="str">
        <x:v>Compare stronger models, tune only on validation, and calibrate probabilities where needed.</x:v>
      </x:c>
      <x:c r="F23" s="49" t="str">
        <x:v>Model comparison table</x:v>
      </x:c>
      <x:c r="G23" s="49" t="str">
        <x:v>Selection is based on pre-declared metrics, complexity and calibration</x:v>
      </x:c>
      <x:c r="H23" s="49" t="str">
        <x:v>Tasks 17,18</x:v>
      </x:c>
      <x:c r="I23" s="49" t="str">
        <x:v>Review-driven</x:v>
      </x:c>
      <x:c r="J23" s="50" t="str">
        <x:v>Not started</x:v>
      </x:c>
    </x:row>
    <x:row r="24">
      <x:c r="A24" s="65" t="n">
        <x:v>20</x:v>
      </x:c>
      <x:c r="B24" s="79" t="str">
        <x:v>3. Reproducible data and ML</x:v>
      </x:c>
      <x:c r="C24" s="68" t="str">
        <x:v>20</x:v>
      </x:c>
      <x:c r="D24" s="68" t="str">
        <x:v>High</x:v>
      </x:c>
      <x:c r="E24" s="49" t="str">
        <x:v>Evaluate subgroup performance, D/E recall, uncertainty and feature explanations; document synthetic-only validity limits.</x:v>
      </x:c>
      <x:c r="F24" s="49" t="str">
        <x:v>Model card and fairness/error analysis</x:v>
      </x:c>
      <x:c r="G24" s="49" t="str">
        <x:v>No production-validity claim is made from synthetic-only results</x:v>
      </x:c>
      <x:c r="H24" s="49" t="str">
        <x:v>Task 19</x:v>
      </x:c>
      <x:c r="I24" s="49" t="str">
        <x:v>Human-owned analysis</x:v>
      </x:c>
      <x:c r="J24" s="50" t="str">
        <x:v>Not started</x:v>
      </x:c>
    </x:row>
    <x:row r="25">
      <x:c r="A25" s="65" t="n">
        <x:v>21</x:v>
      </x:c>
      <x:c r="B25" s="79" t="str">
        <x:v>3. Reproducible data and ML</x:v>
      </x:c>
      <x:c r="C25" s="68" t="str">
        <x:v>21</x:v>
      </x:c>
      <x:c r="D25" s="68" t="str">
        <x:v>High</x:v>
      </x:c>
      <x:c r="E25" s="49" t="str">
        <x:v>Choose deterministic-only, ML-with-fallback, or ensemble strategy and package the model/runtime boundary.</x:v>
      </x:c>
      <x:c r="F25" s="49" t="str">
        <x:v>Scoring strategy decision and versioned model</x:v>
      </x:c>
      <x:c r="G25" s="49" t="str">
        <x:v>Decision is traceable to metrics and has deterministic fallback</x:v>
      </x:c>
      <x:c r="H25" s="49" t="str">
        <x:v>Task 20</x:v>
      </x:c>
      <x:c r="I25" s="49" t="str">
        <x:v>Human decision; agent implements</x:v>
      </x:c>
      <x:c r="J25" s="50" t="str">
        <x:v>Not started</x:v>
      </x:c>
    </x:row>
    <x:row r="26">
      <x:c r="A26" s="65" t="n">
        <x:v>22</x:v>
      </x:c>
      <x:c r="B26" s="81" t="str">
        <x:v>4. RAG proposal optimizer</x:v>
      </x:c>
      <x:c r="C26" s="68" t="str">
        <x:v>22</x:v>
      </x:c>
      <x:c r="D26" s="68" t="str">
        <x:v>High</x:v>
      </x:c>
      <x:c r="E26" s="49" t="str">
        <x:v>Define a de-identified historical case schema with financial summary, requested terms, decision, rationale, policy version and provenance.</x:v>
      </x:c>
      <x:c r="F26" s="49" t="str">
        <x:v>HistoricalCase typed contract</x:v>
      </x:c>
      <x:c r="G26" s="49" t="str">
        <x:v>No raw PII; approved and rejected outcomes are represented</x:v>
      </x:c>
      <x:c r="H26" s="49" t="str">
        <x:v>Tasks 3,4,16</x:v>
      </x:c>
      <x:c r="I26" s="49" t="str">
        <x:v>Review-driven</x:v>
      </x:c>
      <x:c r="J26" s="50" t="str">
        <x:v>Not started</x:v>
      </x:c>
    </x:row>
    <x:row r="27">
      <x:c r="A27" s="65" t="n">
        <x:v>23</x:v>
      </x:c>
      <x:c r="B27" s="81" t="str">
        <x:v>4. RAG proposal optimizer</x:v>
      </x:c>
      <x:c r="C27" s="68" t="str">
        <x:v>23</x:v>
      </x:c>
      <x:c r="D27" s="68" t="str">
        <x:v>High</x:v>
      </x:c>
      <x:c r="E27" s="49" t="str">
        <x:v>Build a synthetic/de-identified case corpus and labeled retrieval relevance set.</x:v>
      </x:c>
      <x:c r="F27" s="49" t="str">
        <x:v>Versioned case corpus and relevance judgments</x:v>
      </x:c>
      <x:c r="G27" s="49" t="str">
        <x:v>Each test query has expected relevant cases and provenance</x:v>
      </x:c>
      <x:c r="H27" s="49" t="str">
        <x:v>Task 22</x:v>
      </x:c>
      <x:c r="I27" s="49" t="str">
        <x:v>Agent for data formatting</x:v>
      </x:c>
      <x:c r="J27" s="50" t="str">
        <x:v>Not started</x:v>
      </x:c>
    </x:row>
    <x:row r="28">
      <x:c r="A28" s="65" t="n">
        <x:v>24</x:v>
      </x:c>
      <x:c r="B28" s="81" t="str">
        <x:v>4. RAG proposal optimizer</x:v>
      </x:c>
      <x:c r="C28" s="68" t="str">
        <x:v>24</x:v>
      </x:c>
      <x:c r="D28" s="68" t="str">
        <x:v>High</x:v>
      </x:c>
      <x:c r="E28" s="49" t="str">
        <x:v>Implement local embedding and cosine retrieval behind a typed interface; keep a file/in-memory index until scale justifies a vector database.</x:v>
      </x:c>
      <x:c r="F28" s="49" t="str">
        <x:v>Historical case retrieval service</x:v>
      </x:c>
      <x:c r="G28" s="49" t="str">
        <x:v>Top-K results include case ID, score and policy version</x:v>
      </x:c>
      <x:c r="H28" s="49" t="str">
        <x:v>Task 23</x:v>
      </x:c>
      <x:c r="I28" s="49" t="str">
        <x:v>Agent-assisted, review diff</x:v>
      </x:c>
      <x:c r="J28" s="50" t="str">
        <x:v>Not started</x:v>
      </x:c>
    </x:row>
    <x:row r="29">
      <x:c r="A29" s="65" t="n">
        <x:v>25</x:v>
      </x:c>
      <x:c r="B29" s="81" t="str">
        <x:v>4. RAG proposal optimizer</x:v>
      </x:c>
      <x:c r="C29" s="68" t="str">
        <x:v>25</x:v>
      </x:c>
      <x:c r="D29" s="68" t="str">
        <x:v>High</x:v>
      </x:c>
      <x:c r="E29" s="49" t="str">
        <x:v>Evaluate retrieval with Precision@K, Recall@K and qualitative error analysis.</x:v>
      </x:c>
      <x:c r="F29" s="49" t="str">
        <x:v>Retrieval evaluation report</x:v>
      </x:c>
      <x:c r="G29" s="49" t="str">
        <x:v>Metrics and failure examples are recorded before generation begins</x:v>
      </x:c>
      <x:c r="H29" s="49" t="str">
        <x:v>Task 24</x:v>
      </x:c>
      <x:c r="I29" s="49" t="str">
        <x:v>Human reviews relevance</x:v>
      </x:c>
      <x:c r="J29" s="50" t="str">
        <x:v>Not started</x:v>
      </x:c>
    </x:row>
    <x:row r="30">
      <x:c r="A30" s="65" t="n">
        <x:v>26</x:v>
      </x:c>
      <x:c r="B30" s="81" t="str">
        <x:v>4. RAG proposal optimizer</x:v>
      </x:c>
      <x:c r="C30" s="68" t="str">
        <x:v>26</x:v>
      </x:c>
      <x:c r="D30" s="68" t="str">
        <x:v>Critical</x:v>
      </x:c>
      <x:c r="E30" s="49" t="str">
        <x:v>Implement structured proposal generation grounded only in retrieved cases and approved constraints; defend against prompt injection in case text.</x:v>
      </x:c>
      <x:c r="F30" s="49" t="str">
        <x:v>Typed LLM integration and prompt template</x:v>
      </x:c>
      <x:c r="G30" s="49" t="str">
        <x:v>Output parses into a fixed schema and carries referenced case IDs</x:v>
      </x:c>
      <x:c r="H30" s="49" t="str">
        <x:v>Tasks 4,24,25</x:v>
      </x:c>
      <x:c r="I30" s="49" t="str">
        <x:v>Review-driven</x:v>
      </x:c>
      <x:c r="J30" s="50" t="str">
        <x:v>Not started</x:v>
      </x:c>
    </x:row>
    <x:row r="31">
      <x:c r="A31" s="65" t="n">
        <x:v>27</x:v>
      </x:c>
      <x:c r="B31" s="81" t="str">
        <x:v>4. RAG proposal optimizer</x:v>
      </x:c>
      <x:c r="C31" s="68" t="str">
        <x:v>27</x:v>
      </x:c>
      <x:c r="D31" s="68" t="str">
        <x:v>Critical</x:v>
      </x:c>
      <x:c r="E31" s="49" t="str">
        <x:v>Implement a policy constraint validator using verified rules, plus retry/repair, timeout, rate-limit and deterministic fallback behavior.</x:v>
      </x:c>
      <x:c r="F31" s="49" t="str">
        <x:v>Constraint-first optimizer</x:v>
      </x:c>
      <x:c r="G31" s="49" t="str">
        <x:v>Invalid terms never reach final output; three failed attempts end safely</x:v>
      </x:c>
      <x:c r="H31" s="49" t="str">
        <x:v>Policy/legal confirmation; Task 26</x:v>
      </x:c>
      <x:c r="I31" s="49" t="str">
        <x:v>Human confirms rules</x:v>
      </x:c>
      <x:c r="J31" s="50" t="str">
        <x:v>External gate</x:v>
      </x:c>
    </x:row>
    <x:row r="32">
      <x:c r="A32" s="65" t="n">
        <x:v>28</x:v>
      </x:c>
      <x:c r="B32" s="81" t="str">
        <x:v>4. RAG proposal optimizer</x:v>
      </x:c>
      <x:c r="C32" s="68" t="str">
        <x:v>28</x:v>
      </x:c>
      <x:c r="D32" s="68" t="str">
        <x:v>High</x:v>
      </x:c>
      <x:c r="E32" s="49" t="str">
        <x:v>Batch-evaluate grounding, constraint compliance, malformed output, latency, cost and human quality rubric.</x:v>
      </x:c>
      <x:c r="F32" s="49" t="str">
        <x:v>Proposal evaluation report</x:v>
      </x:c>
      <x:c r="G32" s="49" t="str">
        <x:v>100% programmatic constraint compliance; all proposals cite grounding cases; limitations documented</x:v>
      </x:c>
      <x:c r="H32" s="49" t="str">
        <x:v>Task 27</x:v>
      </x:c>
      <x:c r="I32" s="49" t="str">
        <x:v>Agent runs; humans rate</x:v>
      </x:c>
      <x:c r="J32" s="50" t="str">
        <x:v>Not started</x:v>
      </x:c>
    </x:row>
    <x:row r="33">
      <x:c r="A33" s="65" t="n">
        <x:v>29</x:v>
      </x:c>
      <x:c r="B33" s="83" t="str">
        <x:v>5. Persistence, API and UI</x:v>
      </x:c>
      <x:c r="C33" s="68" t="str">
        <x:v>29</x:v>
      </x:c>
      <x:c r="D33" s="68" t="str">
        <x:v>High</x:v>
      </x:c>
      <x:c r="E33" s="49" t="str">
        <x:v>Design EF persistence entities and lease_feasibility schema for assessments, predictions, proposals and case metadata.</x:v>
      </x:c>
      <x:c r="F33" s="49" t="str">
        <x:v>DbContext and migration design</x:v>
      </x:c>
      <x:c r="G33" s="49" t="str">
        <x:v>No raw document contents stored by default; retention fields are explicit</x:v>
      </x:c>
      <x:c r="H33" s="49" t="str">
        <x:v>Tasks 4,10,22</x:v>
      </x:c>
      <x:c r="I33" s="49" t="str">
        <x:v>Agent-assisted</x:v>
      </x:c>
      <x:c r="J33" s="50" t="str">
        <x:v>Not started</x:v>
      </x:c>
    </x:row>
    <x:row r="34">
      <x:c r="A34" s="65" t="n">
        <x:v>30</x:v>
      </x:c>
      <x:c r="B34" s="83" t="str">
        <x:v>5. Persistence, API and UI</x:v>
      </x:c>
      <x:c r="C34" s="68" t="str">
        <x:v>30</x:v>
      </x:c>
      <x:c r="D34" s="68" t="str">
        <x:v>High</x:v>
      </x:c>
      <x:c r="E34" s="49" t="str">
        <x:v>Implement migrations, mappings and repositories with round-trip and database integration tests.</x:v>
      </x:c>
      <x:c r="F34" s="49" t="str">
        <x:v>Working persistence layer</x:v>
      </x:c>
      <x:c r="G34" s="49" t="str">
        <x:v>Migrations apply to dev DB and repository tests pass</x:v>
      </x:c>
      <x:c r="H34" s="49" t="str">
        <x:v>Task 29</x:v>
      </x:c>
      <x:c r="I34" s="49" t="str">
        <x:v>Agent-assisted</x:v>
      </x:c>
      <x:c r="J34" s="50" t="str">
        <x:v>Not started</x:v>
      </x:c>
    </x:row>
    <x:row r="35">
      <x:c r="A35" s="65" t="n">
        <x:v>31</x:v>
      </x:c>
      <x:c r="B35" s="83" t="str">
        <x:v>5. Persistence, API and UI</x:v>
      </x:c>
      <x:c r="C35" s="68" t="str">
        <x:v>31</x:v>
      </x:c>
      <x:c r="D35" s="68" t="str">
        <x:v>Critical</x:v>
      </x:c>
      <x:c r="E35" s="49" t="str">
        <x:v>Register Application/Infrastructure/Presentation, implement assess/predict/proposal controllers, Swagger contracts and consistent error responses.</x:v>
      </x:c>
      <x:c r="F35" s="49" t="str">
        <x:v>Three API endpoints</x:v>
      </x:c>
      <x:c r="G35" s="49" t="str">
        <x:v>All endpoints run through DI and appear in Swagger</x:v>
      </x:c>
      <x:c r="H35" s="49" t="str">
        <x:v>Tasks 14,21,28,30</x:v>
      </x:c>
      <x:c r="I35" s="49" t="str">
        <x:v>Review-driven</x:v>
      </x:c>
      <x:c r="J35" s="50" t="str">
        <x:v>Not started</x:v>
      </x:c>
    </x:row>
    <x:row r="36">
      <x:c r="A36" s="65" t="n">
        <x:v>32</x:v>
      </x:c>
      <x:c r="B36" s="83" t="str">
        <x:v>5. Persistence, API and UI</x:v>
      </x:c>
      <x:c r="C36" s="68" t="str">
        <x:v>32</x:v>
      </x:c>
      <x:c r="D36" s="68" t="str">
        <x:v>Critical</x:v>
      </x:c>
      <x:c r="E36" s="49" t="str">
        <x:v>Add authentication, role/ownership authorization, upload access controls and audit-safe request correlation.</x:v>
      </x:c>
      <x:c r="F36" s="49" t="str">
        <x:v>Secured API boundary</x:v>
      </x:c>
      <x:c r="G36" s="49" t="str">
        <x:v>Unauthorized cross-applicant access is denied and tested</x:v>
      </x:c>
      <x:c r="H36" s="49" t="str">
        <x:v>Tasks 4,6,31</x:v>
      </x:c>
      <x:c r="I36" s="49" t="str">
        <x:v>Review-driven</x:v>
      </x:c>
      <x:c r="J36" s="50" t="str">
        <x:v>Not started</x:v>
      </x:c>
    </x:row>
    <x:row r="37">
      <x:c r="A37" s="65" t="n">
        <x:v>33</x:v>
      </x:c>
      <x:c r="B37" s="83" t="str">
        <x:v>5. Persistence, API and UI</x:v>
      </x:c>
      <x:c r="C37" s="68" t="str">
        <x:v>33</x:v>
      </x:c>
      <x:c r="D37" s="68" t="str">
        <x:v>High</x:v>
      </x:c>
      <x:c r="E37" s="49" t="str">
        <x:v>Replace the Component 2 placeholder with document upload, extraction review, assessment, probability and proposal views.</x:v>
      </x:c>
      <x:c r="F37" s="49" t="str">
        <x:v>Component 2 web workflow</x:v>
      </x:c>
      <x:c r="G37" s="49" t="str">
        <x:v>Loading, empty, error, manual-review and traceability states are visible</x:v>
      </x:c>
      <x:c r="H37" s="49" t="str">
        <x:v>Tasks 31,32</x:v>
      </x:c>
      <x:c r="I37" s="49" t="str">
        <x:v>Agent-assisted, visual review</x:v>
      </x:c>
      <x:c r="J37" s="50" t="str">
        <x:v>Not started</x:v>
      </x:c>
    </x:row>
    <x:row r="38">
      <x:c r="A38" s="65" t="n">
        <x:v>34</x:v>
      </x:c>
      <x:c r="B38" s="83" t="str">
        <x:v>5. Persistence, API and UI</x:v>
      </x:c>
      <x:c r="C38" s="68" t="str">
        <x:v>34</x:v>
      </x:c>
      <x:c r="D38" s="68" t="str">
        <x:v>High</x:v>
      </x:c>
      <x:c r="E38" s="49" t="str">
        <x:v>Add API and browser end-to-end tests for the complete synthetic applicant journey.</x:v>
      </x:c>
      <x:c r="F38" s="49" t="str">
        <x:v>End-to-end test suite</x:v>
      </x:c>
      <x:c r="G38" s="49" t="str">
        <x:v>Upload to assessment to prediction to grounded proposal passes on a clean setup</x:v>
      </x:c>
      <x:c r="H38" s="49" t="str">
        <x:v>Task 33</x:v>
      </x:c>
      <x:c r="I38" s="49" t="str">
        <x:v>Agent runs; human verifies UI</x:v>
      </x:c>
      <x:c r="J38" s="50" t="str">
        <x:v>Not started</x:v>
      </x:c>
    </x:row>
    <x:row r="39">
      <x:c r="A39" s="65" t="n">
        <x:v>35</x:v>
      </x:c>
      <x:c r="B39" s="85" t="str">
        <x:v>6. Integration and research closure</x:v>
      </x:c>
      <x:c r="C39" s="68" t="str">
        <x:v>35</x:v>
      </x:c>
      <x:c r="D39" s="68" t="str">
        <x:v>High</x:v>
      </x:c>
      <x:c r="E39" s="49" t="str">
        <x:v>Define versioned integration contracts for land context and workflow handoff without direct module-domain references.</x:v>
      </x:c>
      <x:c r="F39" s="49" t="str">
        <x:v>Decoupled integration DTOs/events</x:v>
      </x:c>
      <x:c r="G39" s="49" t="str">
        <x:v>Architecture tests prevent cross-module coupling</x:v>
      </x:c>
      <x:c r="H39" s="49" t="str">
        <x:v>Tasks 3,31</x:v>
      </x:c>
      <x:c r="I39" s="49" t="str">
        <x:v>Review-driven</x:v>
      </x:c>
      <x:c r="J39" s="50" t="str">
        <x:v>Not started</x:v>
      </x:c>
    </x:row>
    <x:row r="40">
      <x:c r="A40" s="65" t="n">
        <x:v>36</x:v>
      </x:c>
      <x:c r="B40" s="85" t="str">
        <x:v>6. Integration and research closure</x:v>
      </x:c>
      <x:c r="C40" s="68" t="str">
        <x:v>36</x:v>
      </x:c>
      <x:c r="D40" s="68" t="str">
        <x:v>Critical</x:v>
      </x:c>
      <x:c r="E40" s="49" t="str">
        <x:v>Publish D/E escalation and write metadata-only audit records for assessments and proposals.</x:v>
      </x:c>
      <x:c r="F40" s="49" t="str">
        <x:v>Escalation and audit flow</x:v>
      </x:c>
      <x:c r="G40" s="49" t="str">
        <x:v>D/E emits once; A/B/C do not; no raw PII or document text enters audit logs</x:v>
      </x:c>
      <x:c r="H40" s="49" t="str">
        <x:v>Tasks 13,32,35</x:v>
      </x:c>
      <x:c r="I40" s="49" t="str">
        <x:v>Review-driven</x:v>
      </x:c>
      <x:c r="J40" s="50" t="str">
        <x:v>Not started</x:v>
      </x:c>
    </x:row>
    <x:row r="41">
      <x:c r="A41" s="65" t="n">
        <x:v>37</x:v>
      </x:c>
      <x:c r="B41" s="85" t="str">
        <x:v>6. Integration and research closure</x:v>
      </x:c>
      <x:c r="C41" s="68" t="str">
        <x:v>37</x:v>
      </x:c>
      <x:c r="D41" s="68" t="str">
        <x:v>Critical</x:v>
      </x:c>
      <x:c r="E41" s="49" t="str">
        <x:v>Run architecture, security and resilience tests: malformed files, extreme values, OCR outage, model failure, no similar cases and LLM outage.</x:v>
      </x:c>
      <x:c r="F41" s="49" t="str">
        <x:v>Failure-mode test report</x:v>
      </x:c>
      <x:c r="G41" s="49" t="str">
        <x:v>Every case fails safely with a clear action and no sensitive leakage</x:v>
      </x:c>
      <x:c r="H41" s="49" t="str">
        <x:v>Tasks 6,21,27,32,36</x:v>
      </x:c>
      <x:c r="I41" s="49" t="str">
        <x:v>Agent runs; human triages</x:v>
      </x:c>
      <x:c r="J41" s="50" t="str">
        <x:v>Not started</x:v>
      </x:c>
    </x:row>
    <x:row r="42">
      <x:c r="A42" s="65" t="n">
        <x:v>38</x:v>
      </x:c>
      <x:c r="B42" s="85" t="str">
        <x:v>6. Integration and research closure</x:v>
      </x:c>
      <x:c r="C42" s="68" t="str">
        <x:v>38</x:v>
      </x:c>
      <x:c r="D42" s="68" t="str">
        <x:v>High</x:v>
      </x:c>
      <x:c r="E42" s="49" t="str">
        <x:v>Run the untouched final evaluation for OCR, A-E scoring, approval model, retrieval and proposal quality.</x:v>
      </x:c>
      <x:c r="F42" s="49" t="str">
        <x:v>Final accuracy and limitations report</x:v>
      </x:c>
      <x:c r="G42" s="49" t="str">
        <x:v>All metrics use frozen data/splits and explicitly separate synthetic from real evidence</x:v>
      </x:c>
      <x:c r="H42" s="49" t="str">
        <x:v>Tasks 9,20,25,28,37</x:v>
      </x:c>
      <x:c r="I42" s="49" t="str">
        <x:v>Human-owned analysis</x:v>
      </x:c>
      <x:c r="J42" s="50" t="str">
        <x:v>Not started</x:v>
      </x:c>
    </x:row>
    <x:row r="43">
      <x:c r="A43" s="65" t="n">
        <x:v>39</x:v>
      </x:c>
      <x:c r="B43" s="85" t="str">
        <x:v>6. Integration and research closure</x:v>
      </x:c>
      <x:c r="C43" s="68" t="str">
        <x:v>39</x:v>
      </x:c>
      <x:c r="D43" s="68" t="str">
        <x:v>High</x:v>
      </x:c>
      <x:c r="E43" s="49" t="str">
        <x:v>Measure latency, throughput, model/LLM cost and demo fallback; rehearse a 3-5 minute end-to-end walkthrough.</x:v>
      </x:c>
      <x:c r="F43" s="49" t="str">
        <x:v>Operational notes and demo recording/script</x:v>
      </x:c>
      <x:c r="G43" s="49" t="str">
        <x:v>Demo works without external APIs using approved fallback data</x:v>
      </x:c>
      <x:c r="H43" s="49" t="str">
        <x:v>Tasks 34,37</x:v>
      </x:c>
      <x:c r="I43" s="49" t="str">
        <x:v>Agent assists; human rehearses</x:v>
      </x:c>
      <x:c r="J43" s="50" t="str">
        <x:v>Not started</x:v>
      </x:c>
    </x:row>
    <x:row r="44">
      <x:c r="A44" s="66" t="n">
        <x:v>40</x:v>
      </x:c>
      <x:c r="B44" s="35" t="str">
        <x:v>6. Integration and research closure</x:v>
      </x:c>
      <x:c r="C44" s="69" t="str">
        <x:v>40</x:v>
      </x:c>
      <x:c r="D44" s="69" t="str">
        <x:v>Critical</x:v>
      </x:c>
      <x:c r="E44" s="26" t="str">
        <x:v>Update architecture, implementation, methodology, results, ethics and limitation sections from actual evidence; obtain supervisor review.</x:v>
      </x:c>
      <x:c r="F44" s="26" t="str">
        <x:v>Submission-ready evidence pack</x:v>
      </x:c>
      <x:c r="G44" s="26" t="str">
        <x:v>No planned feature is described as implemented; supervisor decisions and pending gates are explicit</x:v>
      </x:c>
      <x:c r="H44" s="26" t="str">
        <x:v>Tasks 38,39</x:v>
      </x:c>
      <x:c r="I44" s="26" t="str">
        <x:v>Human-owned writing</x:v>
      </x:c>
      <x:c r="J44" s="27" t="str">
        <x:v>Not started</x:v>
      </x:c>
    </x:row>
  </x:sheetData>
  <x:conditionalFormatting sqref="J5:J44">
    <x:cfRule type="containsText" dxfId="36" priority="1" operator="containsText" text="Complete"/>
    <x:cfRule type="containsText" dxfId="37" priority="2" operator="containsText" text="Implemented"/>
    <x:cfRule type="containsText" dxfId="38" priority="3" operator="containsText" text="Ready"/>
    <x:cfRule type="containsText" dxfId="39" priority="4" operator="containsText" text="Partial"/>
    <x:cfRule type="containsText" dxfId="40" priority="5" operator="containsText" text="WIP"/>
    <x:cfRule type="containsText" dxfId="41" priority="6" operator="containsText" text="Decision needed"/>
    <x:cfRule type="containsText" dxfId="42" priority="7" operator="containsText" text="External gate"/>
    <x:cfRule type="containsText" dxfId="43" priority="8" operator="containsText" text="Blocked"/>
    <x:cfRule type="containsText" dxfId="44" priority="9" operator="containsText" text="Not started"/>
  </x:conditionalFormatting>
  <x:dataValidations count="1">
    <x:dataValidation type="list" sqref="J5:J44">
      <x:formula1>"Ready,Decision needed,External gate,Not started,In progress,Complete,Blocked"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35" hidden="0" customWidth="1"/>
    <x:col min="4" max="4" width="50" hidden="0" customWidth="1"/>
    <x:col min="5" max="5" width="34" hidden="0" customWidth="1"/>
    <x:col min="6" max="6" width="44" hidden="0" customWidth="1"/>
  </x:cols>
  <x:sheetData>
    <x:row r="1" ht="28" customHeight="1">
      <x:c r="A1" s="1" t="str">
        <x:v>Validation and research evidence matrix</x:v>
      </x:c>
      <x:c r="B1" s="1"/>
      <x:c r="C1" s="1"/>
      <x:c r="D1" s="1"/>
      <x:c r="E1" s="1"/>
      <x:c r="F1" s="1"/>
    </x:row>
    <x:row r="2" ht="18" customHeight="1">
      <x:c r="A2" s="3" t="str">
        <x:v>Targets marked provisional must be confirmed with the supervisor before final evaluation. Synthetic performance must not be presented as real-world predictive validity.</x:v>
      </x:c>
      <x:c r="B2" s="3"/>
      <x:c r="C2" s="3"/>
      <x:c r="D2" s="3"/>
      <x:c r="E2" s="3"/>
      <x:c r="F2" s="3"/>
    </x:row>
    <x:row r="4" ht="34" customHeight="1">
      <x:c r="A4" s="41" t="str">
        <x:v>Area</x:v>
      </x:c>
      <x:c r="B4" s="41" t="str">
        <x:v>Metric or check</x:v>
      </x:c>
      <x:c r="C4" s="41" t="str">
        <x:v>Current baseline</x:v>
      </x:c>
      <x:c r="D4" s="41" t="str">
        <x:v>Gate</x:v>
      </x:c>
      <x:c r="E4" s="41" t="str">
        <x:v>Evidence artifact</x:v>
      </x:c>
      <x:c r="F4" s="41" t="str">
        <x:v>Decision rule</x:v>
      </x:c>
    </x:row>
    <x:row r="5">
      <x:c r="A5" s="22" t="str">
        <x:v>OCR extraction</x:v>
      </x:c>
      <x:c r="B5" s="23" t="str">
        <x:v>Exact field accuracy by field and document type; confidence coverage</x:v>
      </x:c>
      <x:c r="C5" s="23" t="str">
        <x:v>76.0% (73/96) on 24 synthetic text documents</x:v>
      </x:c>
      <x:c r="D5" s="23" t="str">
        <x:v>Provisional: &gt;=90% on a versioned synthetic set; separately report real-document results if authorized</x:v>
      </x:c>
      <x:c r="E5" s="23" t="str">
        <x:v>ocr-evaluation.md plus ground-truth dataset</x:v>
      </x:c>
      <x:c r="F5" s="24" t="str">
        <x:v>Below gate: keep manual review and do not claim automated extraction readiness</x:v>
      </x:c>
    </x:row>
    <x:row r="6">
      <x:c r="A6" s="48" t="str">
        <x:v>Deterministic scoring</x:v>
      </x:c>
      <x:c r="B6" s="49" t="str">
        <x:v>Boundary tests, worked examples, repeatability and explanation coverage</x:v>
      </x:c>
      <x:c r="C6" s="49" t="str">
        <x:v>Engine exists; current WIP boundaries conflict with written rubric</x:v>
      </x:c>
      <x:c r="D6" s="49" t="str">
        <x:v>100% approved boundary/example tests; same input returns same score/explanation</x:v>
      </x:c>
      <x:c r="E6" s="49" t="str">
        <x:v>scoring-decision.md and unit test output</x:v>
      </x:c>
      <x:c r="F6" s="50" t="str">
        <x:v>Any contract mismatch blocks ML comparison and API release</x:v>
      </x:c>
    </x:row>
    <x:row r="7">
      <x:c r="A7" s="48" t="str">
        <x:v>A-E ML comparator</x:v>
      </x:c>
      <x:c r="B7" s="49" t="str">
        <x:v>Macro-F1, quadratic weighted kappa and per-class recall</x:v>
      </x:c>
      <x:c r="C7" s="49" t="str">
        <x:v>Not started</x:v>
      </x:c>
      <x:c r="D7" s="49" t="str">
        <x:v>Report against deterministic baseline on frozen test split; no deployment gate from synthetic-only data</x:v>
      </x:c>
      <x:c r="E7" s="49" t="str">
        <x:v>model-card-grade.md</x:v>
      </x:c>
      <x:c r="F7" s="50" t="str">
        <x:v>Prefer simpler deterministic method unless ML adds reproducible value</x:v>
      </x:c>
    </x:row>
    <x:row r="8">
      <x:c r="A8" s="48" t="str">
        <x:v>Approval prediction</x:v>
      </x:c>
      <x:c r="B8" s="49" t="str">
        <x:v>ROC-AUC, PR-AUC, Brier score and calibration curve</x:v>
      </x:c>
      <x:c r="C8" s="49" t="str">
        <x:v>Not started</x:v>
      </x:c>
      <x:c r="D8" s="49" t="str">
        <x:v>Thresholds pre-registered before final test; calibration acceptable for intended decisions</x:v>
      </x:c>
      <x:c r="E8" s="49" t="str">
        <x:v>model-card-approval.md</x:v>
      </x:c>
      <x:c r="F8" s="50" t="str">
        <x:v>Poor calibration blocks probability display to users</x:v>
      </x:c>
    </x:row>
    <x:row r="9">
      <x:c r="A9" s="48" t="str">
        <x:v>Fairness and uncertainty</x:v>
      </x:c>
      <x:c r="B9" s="49" t="str">
        <x:v>Subgroup error rates, confidence/uncertainty and out-of-distribution behavior</x:v>
      </x:c>
      <x:c r="C9" s="49" t="str">
        <x:v>Not started</x:v>
      </x:c>
      <x:c r="D9" s="49" t="str">
        <x:v>Material disparities and unsupported populations are documented and routed to manual review</x:v>
      </x:c>
      <x:c r="E9" s="49" t="str">
        <x:v>fairness-error-analysis.md</x:v>
      </x:c>
      <x:c r="F9" s="50" t="str">
        <x:v>Unexplained disparity blocks automated recommendation use</x:v>
      </x:c>
    </x:row>
    <x:row r="10">
      <x:c r="A10" s="48" t="str">
        <x:v>RAG retrieval</x:v>
      </x:c>
      <x:c r="B10" s="49" t="str">
        <x:v>Precision@K, Recall@K and relevance error review</x:v>
      </x:c>
      <x:c r="C10" s="49" t="str">
        <x:v>Not started</x:v>
      </x:c>
      <x:c r="D10" s="49" t="str">
        <x:v>Evaluated on labeled queries; returned cases include provenance and policy version</x:v>
      </x:c>
      <x:c r="E10" s="49" t="str">
        <x:v>retrieval-evaluation.md</x:v>
      </x:c>
      <x:c r="F10" s="50" t="str">
        <x:v>Poor retrieval blocks proposal generation</x:v>
      </x:c>
    </x:row>
    <x:row r="11">
      <x:c r="A11" s="48" t="str">
        <x:v>Proposal generation</x:v>
      </x:c>
      <x:c r="B11" s="49" t="str">
        <x:v>Constraint compliance, grounding coverage, parse failures and human rubric</x:v>
      </x:c>
      <x:c r="C11" s="49" t="str">
        <x:v>Not started</x:v>
      </x:c>
      <x:c r="D11" s="49" t="str">
        <x:v>100% programmatic constraint compliance; 100% case citations; parse failures fail safely</x:v>
      </x:c>
      <x:c r="E11" s="49" t="str">
        <x:v>proposal-evaluation.md</x:v>
      </x:c>
      <x:c r="F11" s="50" t="str">
        <x:v>Any invalid final term blocks release</x:v>
      </x:c>
    </x:row>
    <x:row r="12">
      <x:c r="A12" s="48" t="str">
        <x:v>Security and privacy</x:v>
      </x:c>
      <x:c r="B12" s="49" t="str">
        <x:v>AuthZ tests, upload validation, PII log scan, secrets and retention controls</x:v>
      </x:c>
      <x:c r="C12" s="49" t="str">
        <x:v>Masked logger exists; no full control path</x:v>
      </x:c>
      <x:c r="D12" s="49" t="str">
        <x:v>No cross-applicant access; no raw PII/document text in logs; unsafe files rejected</x:v>
      </x:c>
      <x:c r="E12" s="49" t="str">
        <x:v>threat-model.md and security test output</x:v>
      </x:c>
      <x:c r="F12" s="50" t="str">
        <x:v>Any sensitive-data leak is release-blocking</x:v>
      </x:c>
    </x:row>
    <x:row r="13">
      <x:c r="A13" s="48" t="str">
        <x:v>API workflow</x:v>
      </x:c>
      <x:c r="B13" s="49" t="str">
        <x:v>Assess, predict and generate endpoints plus negative cases</x:v>
      </x:c>
      <x:c r="C13" s="49" t="str">
        <x:v>No Component 2 endpoints</x:v>
      </x:c>
      <x:c r="D13" s="49" t="str">
        <x:v>All endpoints pass integration tests and consistent error mapping</x:v>
      </x:c>
      <x:c r="E13" s="49" t="str">
        <x:v>API test report and Swagger export</x:v>
      </x:c>
      <x:c r="F13" s="50" t="str">
        <x:v>Any stub/NotImplementedException blocks UI integration</x:v>
      </x:c>
    </x:row>
    <x:row r="14">
      <x:c r="A14" s="48" t="str">
        <x:v>End-to-end workflow</x:v>
      </x:c>
      <x:c r="B14" s="49" t="str">
        <x:v>Synthetic applicant from upload through grounded proposal and escalation</x:v>
      </x:c>
      <x:c r="C14" s="49" t="str">
        <x:v>UI placeholder</x:v>
      </x:c>
      <x:c r="D14" s="49" t="str">
        <x:v>Clean-environment E2E passes; C and D/E review/escalation paths are visible</x:v>
      </x:c>
      <x:c r="E14" s="49" t="str">
        <x:v>E2E output and demo script</x:v>
      </x:c>
      <x:c r="F14" s="50" t="str">
        <x:v>Broken visible workflow blocks demo readiness</x:v>
      </x:c>
    </x:row>
    <x:row r="15">
      <x:c r="A15" s="25" t="str">
        <x:v>Operational resilience</x:v>
      </x:c>
      <x:c r="B15" s="26" t="str">
        <x:v>Latency, timeout, retry, external outage and fallback behavior</x:v>
      </x:c>
      <x:c r="C15" s="26" t="str">
        <x:v>Not measured</x:v>
      </x:c>
      <x:c r="D15" s="26" t="str">
        <x:v>Fallback demo works without live OCR/LLM; costs and limits documented</x:v>
      </x:c>
      <x:c r="E15" s="26" t="str">
        <x:v>operational-notes.md</x:v>
      </x:c>
      <x:c r="F15" s="27" t="str">
        <x:v>No fallback blocks live demo readiness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95" hidden="0" customWidth="1"/>
    <x:col min="4" max="4" width="48" hidden="0" customWidth="1"/>
  </x:cols>
  <x:sheetData>
    <x:row r="1" ht="28" customHeight="1">
      <x:c r="A1" s="1" t="str">
        <x:v>Antigravity execution prompts</x:v>
      </x:c>
      <x:c r="B1" s="1"/>
      <x:c r="C1" s="1"/>
      <x:c r="D1" s="1"/>
    </x:row>
    <x:row r="2" ht="18" customHeight="1">
      <x:c r="A2" s="3" t="str">
        <x:v>Use one prompt at a time after its prerequisite gate passes. Keep GovernanceIntelligence and LandIntelligence read-only references unless a separately approved integration task requires a contract change.</x:v>
      </x:c>
      <x:c r="B2" s="3"/>
      <x:c r="C2" s="3"/>
      <x:c r="D2" s="3"/>
    </x:row>
    <x:row r="4" ht="34" customHeight="1">
      <x:c r="A4" s="41" t="str">
        <x:v>Prompt</x:v>
      </x:c>
      <x:c r="B4" s="41" t="str">
        <x:v>Use after</x:v>
      </x:c>
      <x:c r="C4" s="41" t="str">
        <x:v>Paste into Antigravity</x:v>
      </x:c>
      <x:c r="D4" s="41" t="str">
        <x:v>Required proof before moving on</x:v>
      </x:c>
    </x:row>
    <x:row r="5">
      <x:c r="A5" s="54" t="str">
        <x:v>P0 - Baseline</x:v>
      </x:c>
      <x:c r="B5" s="23" t="str">
        <x:v>Now</x:v>
      </x:c>
      <x:c r="C5" s="23" t="str">
        <x:v>Work only in Component 2 and its tests/docs. First inspect git status and preserve the existing uncommitted scoring-engine edit and untracked scoring tests. Run the Component 2 unit test project and API build, record exact results, and propose a minimal sequence for reconciling the scoring contract. Do not edit code until you have listed the rubric/code/test mismatches.</x:v>
      </x:c>
      <x:c r="D5" s="24" t="str">
        <x:v>Diff review, git status unchanged except intended files, test and build output</x:v>
      </x:c>
    </x:row>
    <x:row r="6">
      <x:c r="A6" s="55" t="str">
        <x:v>P1 - Scoring contract</x:v>
      </x:c>
      <x:c r="B6" s="49" t="str">
        <x:v>Supervisor has chosen the A-E bands and weights</x:v>
      </x:c>
      <x:c r="C6" s="49" t="str">
        <x:v>Update the Component 2 rubric, typed inputs and deterministic scoring engine so one approved contract defines all thresholds, weights, units and actions. Remove savings-as-lease-cost and 5%-of-total-debt assumptions unless they are explicitly approved. Fix application/applicant ID and TimeProvider handling. Add worked-example and boundary tests. Do not touch ML or RAG.</x:v>
      </x:c>
      <x:c r="D6" s="50" t="str">
        <x:v>Approved rubric, focused diff, boundary/example tests, all 44+ Component 2 tests green</x:v>
      </x:c>
    </x:row>
    <x:row r="7">
      <x:c r="A7" s="55" t="str">
        <x:v>P2 - OCR hardening</x:v>
      </x:c>
      <x:c r="B7" s="49" t="str">
        <x:v>Typed document/input contract is stable</x:v>
      </x:c>
      <x:c r="C7" s="49" t="str">
        <x:v>Refactor Component 2 OCR into a provider boundary and document-specific extractors. Add file/URI validation, field confidence, source evidence, optional CRIB handling and explicit manual-review errors. Improve the versioned synthetic benchmark from the current 73/96 field baseline. Never log raw document text or PII. Run unit tests and the batch benchmark.</x:v>
      </x:c>
      <x:c r="D7" s="50" t="str">
        <x:v>Per-document metrics, failure examples, security tests, no raw PII logs</x:v>
      </x:c>
    </x:row>
    <x:row r="8">
      <x:c r="A8" s="55" t="str">
        <x:v>P3 - Assess vertical slice</x:v>
      </x:c>
      <x:c r="B8" s="49" t="str">
        <x:v>P1 and P2 pass</x:v>
      </x:c>
      <x:c r="C8" s="49" t="str">
        <x:v>Complete only POST /assess-feasibility: invoke the validator, map extracted evidence to validated domain inputs, score, persist to an in-memory repository, return explanations/manual-review state, register DI and add controller/API tests. Keep the future ML and RAG handlers untouched. Match existing controller error conventions without referencing another module's Domain assembly.</x:v>
      </x:c>
      <x:c r="D8" s="50" t="str">
        <x:v>Running endpoint, Swagger contract, positive and negative API tests</x:v>
      </x:c>
    </x:row>
    <x:row r="9">
      <x:c r="A9" s="55" t="str">
        <x:v>P4 - Reproducible dataset</x:v>
      </x:c>
      <x:c r="B9" s="49" t="str">
        <x:v>Feature and label definitions are frozen</x:v>
      </x:c>
      <x:c r="C9" s="49" t="str">
        <x:v>Create a deterministic synthetic-data pipeline with a fixed seed, version metadata, data dictionary and class/distribution report. Separate A-E grade labels from historical approval outcomes and audit target leakage. Create frozen train/validation/test splits. Do not train models until the split and label report is reviewed.</x:v>
      </x:c>
      <x:c r="D9" s="50" t="str">
        <x:v>Reproducible hashes/counts, label/split report, no target leakage</x:v>
      </x:c>
    </x:row>
    <x:row r="10">
      <x:c r="A10" s="55" t="str">
        <x:v>P5 - ML evaluation</x:v>
      </x:c>
      <x:c r="B10" s="49" t="str">
        <x:v>P4 reviewed</x:v>
      </x:c>
      <x:c r="C10" s="49" t="str">
        <x:v>Train an A-E research comparator and a separate approval-probability model. Report macro-F1, QWK and per-class recall for grades; ROC-AUC, PR-AUC, Brier score and calibration for approval. Compare simple and stronger models without touching the frozen test split. Document synthetic-only validity limits, subgroup errors and the deterministic fallback. Package only the selected model.</x:v>
      </x:c>
      <x:c r="D10" s="50" t="str">
        <x:v>Model cards, comparison table, frozen-test discipline, versioned artifact</x:v>
      </x:c>
    </x:row>
    <x:row r="11">
      <x:c r="A11" s="55" t="str">
        <x:v>P6 - RAG retrieval</x:v>
      </x:c>
      <x:c r="B11" s="49" t="str">
        <x:v>Historical case schema and approved/de-identified corpus exist</x:v>
      </x:c>
      <x:c r="C11" s="49" t="str">
        <x:v>Implement a typed historical-case corpus, local embeddings and cosine Top-K retrieval in Component 2. Return case IDs, similarity scores, provenance and policy version. Create labeled queries and evaluate Precision@K/Recall@K before adding an LLM. Keep the index file/in-memory unless measured scale requires a vector database.</x:v>
      </x:c>
      <x:c r="D11" s="50" t="str">
        <x:v>Retrieval metrics, relevant/irrelevant examples, architecture isolation tests</x:v>
      </x:c>
    </x:row>
    <x:row r="12">
      <x:c r="A12" s="55" t="str">
        <x:v>P7 - Proposal optimizer</x:v>
      </x:c>
      <x:c r="B12" s="49" t="str">
        <x:v>P6 passes and policy constraints are verified</x:v>
      </x:c>
      <x:c r="C12" s="49" t="str">
        <x:v>Implement structured proposal generation grounded only in retrieved cases and verified constraints. Add prompt-injection resistance, schema parsing, constraint validation, repair attempts, timeout/rate-limit handling and deterministic fallback. Every proposal must cite source case IDs. Add malformed-output and invalid-term tests and a batch evaluation.</x:v>
      </x:c>
      <x:c r="D12" s="50" t="str">
        <x:v>100% constraint compliance, citations, safe failure tests, latency/cost notes</x:v>
      </x:c>
    </x:row>
    <x:row r="13">
      <x:c r="A13" s="55" t="str">
        <x:v>P8 - Persistence and API</x:v>
      </x:c>
      <x:c r="B13" s="49" t="str">
        <x:v>Domain, ML and RAG contracts are stable</x:v>
      </x:c>
      <x:c r="C13" s="49" t="str">
        <x:v>Add Component 2 EF persistence entities, mappings, DbContext, migration and repositories in a lease_feasibility schema. Register Application/Infrastructure/Presentation and implement assess, predict and generate endpoints with Swagger, authentication, ownership authorization and metadata-only audit correlation. Add database and API integration tests.</x:v>
      </x:c>
      <x:c r="D13" s="50" t="str">
        <x:v>Migration proof, repository tests, secured endpoint tests, Swagger</x:v>
      </x:c>
    </x:row>
    <x:row r="14">
      <x:c r="A14" s="55" t="str">
        <x:v>P9 - UI and final integration</x:v>
      </x:c>
      <x:c r="B14" s="49" t="str">
        <x:v>P8 passes</x:v>
      </x:c>
      <x:c r="C14" s="49" t="str">
        <x:v>Replace the Component 2 placeholder with the complete synthetic applicant workflow: upload, extraction review, assessment factors, approval probability, grounded proposal, manual-review and error states. Add browser E2E coverage. Then publish D/E escalation through a decoupled integration event and add metadata-only audit records. Preserve module isolation.</x:v>
      </x:c>
      <x:c r="D14" s="50" t="str">
        <x:v>Visible browser flow, E2E test, event tests, no cross-module Domain reference</x:v>
      </x:c>
    </x:row>
    <x:row r="15">
      <x:c r="A15" s="56" t="str">
        <x:v>P10 - Final evidence</x:v>
      </x:c>
      <x:c r="B15" s="26" t="str">
        <x:v>All implementation phases pass</x:v>
      </x:c>
      <x:c r="C15" s="26" t="str">
        <x:v>Run the frozen final evaluations and failure-mode suite. Produce an evidence pack for OCR, scoring, approval model, retrieval, proposal quality, security, latency/cost and demo fallback. Update report text from actual results only; label synthetic evidence and pending real-data/ethics validation honestly.</x:v>
      </x:c>
      <x:c r="D15" s="27" t="str">
        <x:v>Final reports, clean rerun commands, demo script/recording, supervisor review notes</x:v>
      </x:c>
    </x:row>
    <x:row r="16">
      <x:c r="A16" s="87"/>
    </x:row>
    <x:row r="17">
      <x:c r="A17" s="87"/>
    </x:row>
    <x:row r="18">
      <x:c r="A18" s="87"/>
    </x:row>
    <x:row r="19">
      <x:c r="A19" s="87"/>
    </x:row>
    <x:row r="20">
      <x:c r="A20" s="8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8" hidden="0" customWidth="1"/>
    <x:col min="3" max="3" width="36" hidden="0" customWidth="1"/>
    <x:col min="4" max="4" width="54" hidden="0" customWidth="1"/>
    <x:col min="5" max="5" width="32" hidden="0" customWidth="1"/>
    <x:col min="6" max="6" width="28" hidden="0" customWidth="1"/>
  </x:cols>
  <x:sheetData>
    <x:row r="1" ht="28" customHeight="1">
      <x:c r="A1" s="1" t="str">
        <x:v>Risks, decisions and external gates</x:v>
      </x:c>
      <x:c r="B1" s="1"/>
      <x:c r="C1" s="1"/>
      <x:c r="D1" s="1"/>
      <x:c r="E1" s="1"/>
      <x:c r="F1" s="1"/>
    </x:row>
    <x:row r="2" ht="18" customHeight="1">
      <x:c r="A2" s="3" t="str">
        <x:v>Resolve critical decisions before the dependent implementation phase. Do not convert pending assumptions into code constants or research claims.</x:v>
      </x:c>
      <x:c r="B2" s="3"/>
      <x:c r="C2" s="3"/>
      <x:c r="D2" s="3"/>
      <x:c r="E2" s="3"/>
      <x:c r="F2" s="3"/>
    </x:row>
    <x:row r="4" ht="34" customHeight="1">
      <x:c r="A4" s="41" t="str">
        <x:v>Risk or decision</x:v>
      </x:c>
      <x:c r="B4" s="41" t="str">
        <x:v>Current evidence</x:v>
      </x:c>
      <x:c r="C4" s="41" t="str">
        <x:v>Impact</x:v>
      </x:c>
      <x:c r="D4" s="41" t="str">
        <x:v>Treatment</x:v>
      </x:c>
      <x:c r="E4" s="41" t="str">
        <x:v>Owner or authority</x:v>
      </x:c>
      <x:c r="F4" s="41" t="str">
        <x:v>Gate</x:v>
      </x:c>
    </x:row>
    <x:row r="5">
      <x:c r="A5" s="22" t="str">
        <x:v>A-E rubric conflict</x:v>
      </x:c>
      <x:c r="B5" s="23" t="str">
        <x:v>Document: 85/70/50/30 with one weight set; engine/tests: 80/60/40/20 with another</x:v>
      </x:c>
      <x:c r="C5" s="23" t="str">
        <x:v>Invalidates comparisons and user meaning</x:v>
      </x:c>
      <x:c r="D5" s="23" t="str">
        <x:v>Approve one version and make docs, code, examples and tests identical</x:v>
      </x:c>
      <x:c r="E5" s="23" t="str">
        <x:v>Student + supervisor/domain adviser</x:v>
      </x:c>
      <x:c r="F5" s="88" t="str">
        <x:v>Before Phase 2</x:v>
      </x:c>
    </x:row>
    <x:row r="6">
      <x:c r="A6" s="48" t="str">
        <x:v>Affordability input missing</x:v>
      </x:c>
      <x:c r="B6" s="49" t="str">
        <x:v>Engine substitutes SavingsToIncomeRatio for income-to-lease-cost</x:v>
      </x:c>
      <x:c r="C6" s="49" t="str">
        <x:v>Score does not measure the stated factor</x:v>
      </x:c>
      <x:c r="D6" s="49" t="str">
        <x:v>Add requested rent/payment/deposit and defined affordability ratio</x:v>
      </x:c>
      <x:c r="E6" s="49" t="str">
        <x:v>Student + domain adviser</x:v>
      </x:c>
      <x:c r="F6" s="89" t="str">
        <x:v>Before Phase 2</x:v>
      </x:c>
    </x:row>
    <x:row r="7">
      <x:c r="A7" s="48" t="str">
        <x:v>Debt semantics unclear</x:v>
      </x:c>
      <x:c r="B7" s="49" t="str">
        <x:v>Engine assumes 5% of ActiveLoanObligations is monthly payment</x:v>
      </x:c>
      <x:c r="C7" s="49" t="str">
        <x:v>Material score distortion</x:v>
      </x:c>
      <x:c r="D7" s="49" t="str">
        <x:v>Store monthly obligation explicitly or document a verified conversion</x:v>
      </x:c>
      <x:c r="E7" s="49" t="str">
        <x:v>Student + finance/domain adviser</x:v>
      </x:c>
      <x:c r="F7" s="89" t="str">
        <x:v>Before Phase 2</x:v>
      </x:c>
    </x:row>
    <x:row r="8">
      <x:c r="A8" s="48" t="str">
        <x:v>CRIB optionality</x:v>
      </x:c>
      <x:c r="B8" s="49" t="str">
        <x:v>TAF says optional; command requires a CRIB URI</x:v>
      </x:c>
      <x:c r="C8" s="49" t="str">
        <x:v>Excludes valid applicants and encourages fabricated defaults</x:v>
      </x:c>
      <x:c r="D8" s="49" t="str">
        <x:v>Model missing CRIB as an explicit state and route uncertainty to review</x:v>
      </x:c>
      <x:c r="E8" s="49" t="str">
        <x:v>Supervisor/domain adviser</x:v>
      </x:c>
      <x:c r="F8" s="89" t="str">
        <x:v>Before OCR/API release</x:v>
      </x:c>
    </x:row>
    <x:row r="9">
      <x:c r="A9" s="48" t="str">
        <x:v>Synthetic-data optimism</x:v>
      </x:c>
      <x:c r="B9" s="49" t="str">
        <x:v>Generator samples grade/outcome and then creates correlated features</x:v>
      </x:c>
      <x:c r="C9" s="49" t="str">
        <x:v>Metrics can measure the generator rather than real generalization</x:v>
      </x:c>
      <x:c r="D9" s="49" t="str">
        <x:v>Leakage audit, frozen splits, data card and explicit synthetic-only claims</x:v>
      </x:c>
      <x:c r="E9" s="49" t="str">
        <x:v>Student + supervisor</x:v>
      </x:c>
      <x:c r="F9" s="89" t="str">
        <x:v>Before ML</x:v>
      </x:c>
    </x:row>
    <x:row r="10">
      <x:c r="A10" s="48" t="str">
        <x:v>Real data and ethics</x:v>
      </x:c>
      <x:c r="B10" s="49" t="str">
        <x:v>No verified approval or historical dataset in the branch</x:v>
      </x:c>
      <x:c r="C10" s="49" t="str">
        <x:v>Privacy/legal/research risk</x:v>
      </x:c>
      <x:c r="D10" s="49" t="str">
        <x:v>Use synthetic/de-identified data until written access and clearance exist</x:v>
      </x:c>
      <x:c r="E10" s="49" t="str">
        <x:v>University and data owner</x:v>
      </x:c>
      <x:c r="F10" s="89" t="str">
        <x:v>External gate</x:v>
      </x:c>
    </x:row>
    <x:row r="11">
      <x:c r="A11" s="48" t="str">
        <x:v>OCR reliability</x:v>
      </x:c>
      <x:c r="B11" s="49" t="str">
        <x:v>76.0% exact fields on synthetic text files</x:v>
      </x:c>
      <x:c r="C11" s="49" t="str">
        <x:v>Wrong financial inputs produce wrong decisions</x:v>
      </x:c>
      <x:c r="D11" s="49" t="str">
        <x:v>Confidence, review state, benchmark improvements and real-doc validation if authorized</x:v>
      </x:c>
      <x:c r="E11" s="49" t="str">
        <x:v>Student</x:v>
      </x:c>
      <x:c r="F11" s="89" t="str">
        <x:v>Before assess endpoint is demo-ready</x:v>
      </x:c>
    </x:row>
    <x:row r="12">
      <x:c r="A12" s="48" t="str">
        <x:v>Cloud OCR residency</x:v>
      </x:c>
      <x:c r="B12" s="49" t="str">
        <x:v>Azure provider selected; no approved residency/retention decision</x:v>
      </x:c>
      <x:c r="C12" s="49" t="str">
        <x:v>Financial documents may leave approved boundary</x:v>
      </x:c>
      <x:c r="D12" s="49" t="str">
        <x:v>Confirm region/contract; keep provider swappable; encrypt and minimize retention</x:v>
      </x:c>
      <x:c r="E12" s="49" t="str">
        <x:v>Data owner + supervisor</x:v>
      </x:c>
      <x:c r="F12" s="89" t="str">
        <x:v>Before real data</x:v>
      </x:c>
    </x:row>
    <x:row r="13">
      <x:c r="A13" s="48" t="str">
        <x:v>Unsafe document URI</x:v>
      </x:c>
      <x:c r="B13" s="49" t="str">
        <x:v>Service accepts HTTP/local paths and can read local files</x:v>
      </x:c>
      <x:c r="C13" s="49" t="str">
        <x:v>SSRF, unauthorized file access and denial-of-service</x:v>
      </x:c>
      <x:c r="D13" s="49" t="str">
        <x:v>Controlled upload storage, allowlists, limits and no arbitrary user-supplied server path</x:v>
      </x:c>
      <x:c r="E13" s="49" t="str">
        <x:v>Student</x:v>
      </x:c>
      <x:c r="F13" s="89" t="str">
        <x:v>Before API exposure</x:v>
      </x:c>
    </x:row>
    <x:row r="14">
      <x:c r="A14" s="48" t="str">
        <x:v>Hard-coded income consistency</x:v>
      </x:c>
      <x:c r="B14" s="49" t="str">
        <x:v>Assessment handler sets 0.85 for all applicants</x:v>
      </x:c>
      <x:c r="C14" s="49" t="str">
        <x:v>Misleading score and research result</x:v>
      </x:c>
      <x:c r="D14" s="49" t="str">
        <x:v>Derive from statement period or mark missing/manual review</x:v>
      </x:c>
      <x:c r="E14" s="49" t="str">
        <x:v>Student</x:v>
      </x:c>
      <x:c r="F14" s="89" t="str">
        <x:v>Before Phase 2</x:v>
      </x:c>
    </x:row>
    <x:row r="15">
      <x:c r="A15" s="48" t="str">
        <x:v>Identity and time defects</x:v>
      </x:c>
      <x:c r="B15" s="49" t="str">
        <x:v>Engine persists ApplicantId as ApplicationId and ignores evaluationTimestamp</x:v>
      </x:c>
      <x:c r="C15" s="49" t="str">
        <x:v>Audit trail cannot be trusted</x:v>
      </x:c>
      <x:c r="D15" s="49" t="str">
        <x:v>Pass both IDs explicitly and construct entities with TimeProvider output</x:v>
      </x:c>
      <x:c r="E15" s="49" t="str">
        <x:v>Student</x:v>
      </x:c>
      <x:c r="F15" s="89" t="str">
        <x:v>Before persistence</x:v>
      </x:c>
    </x:row>
    <x:row r="16">
      <x:c r="A16" s="48" t="str">
        <x:v>No API authorization</x:v>
      </x:c>
      <x:c r="B16" s="49" t="str">
        <x:v>Component 2 is not registered and no policy exists</x:v>
      </x:c>
      <x:c r="C16" s="49" t="str">
        <x:v>Financial data exposure</x:v>
      </x:c>
      <x:c r="D16" s="49" t="str">
        <x:v>Add authenticated ownership/role checks with negative tests</x:v>
      </x:c>
      <x:c r="E16" s="49" t="str">
        <x:v>Student + team</x:v>
      </x:c>
      <x:c r="F16" s="89" t="str">
        <x:v>Before UI/API integration</x:v>
      </x:c>
    </x:row>
    <x:row r="17">
      <x:c r="A17" s="48" t="str">
        <x:v>Unverified policy constants</x:v>
      </x:c>
      <x:c r="B17" s="49" t="str">
        <x:v>Old plan proposes copying limits from another component</x:v>
      </x:c>
      <x:c r="C17" s="49" t="str">
        <x:v>Could encode incorrect law/policy and couples modules</x:v>
      </x:c>
      <x:c r="D17" s="49" t="str">
        <x:v>Use approved sources/configuration and version the applicable policy</x:v>
      </x:c>
      <x:c r="E17" s="49" t="str">
        <x:v>Domain/legal adviser</x:v>
      </x:c>
      <x:c r="F17" s="89" t="str">
        <x:v>Before proposal validator</x:v>
      </x:c>
    </x:row>
    <x:row r="18">
      <x:c r="A18" s="48" t="str">
        <x:v>LLM hallucination and injection</x:v>
      </x:c>
      <x:c r="B18" s="49" t="str">
        <x:v>No generator exists yet</x:v>
      </x:c>
      <x:c r="C18" s="49" t="str">
        <x:v>Unsafe or fabricated proposal terms</x:v>
      </x:c>
      <x:c r="D18" s="49" t="str">
        <x:v>Retrieved-content sanitization, structured output, programmatic validator, citations and human approval</x:v>
      </x:c>
      <x:c r="E18" s="49" t="str">
        <x:v>Student</x:v>
      </x:c>
      <x:c r="F18" s="89" t="str">
        <x:v>Before proposal release</x:v>
      </x:c>
    </x:row>
    <x:row r="19">
      <x:c r="A19" s="25" t="str">
        <x:v>Branch integration risk</x:v>
      </x:c>
      <x:c r="B19" s="26" t="str">
        <x:v>Local branch is far ahead of remote Component 2 and has dirty WIP</x:v>
      </x:c>
      <x:c r="C19" s="26" t="str">
        <x:v>Harder review/merge and accidental loss</x:v>
      </x:c>
      <x:c r="D19" s="26" t="str">
        <x:v>Checkpoint Component 2 work separately, rebase/merge only after tests and team coordination</x:v>
      </x:c>
      <x:c r="E19" s="26" t="str">
        <x:v>Student + team</x:v>
      </x:c>
      <x:c r="F19" s="90" t="str">
        <x:v>Before broad implementation</x:v>
      </x:c>
    </x:row>
    <x:row r="20">
      <x:c r="F20" s="91"/>
    </x:row>
    <x:row r="21">
      <x:c r="F21" s="91"/>
    </x:row>
    <x:row r="22">
      <x:c r="F22" s="91"/>
    </x:row>
    <x:row r="23">
      <x:c r="F23" s="91"/>
    </x:row>
    <x:row r="24">
      <x:c r="F24" s="91"/>
    </x:row>
    <x:row r="25">
      <x:c r="F25" s="91"/>
    </x:row>
    <x:row r="26">
      <x:c r="F26" s="91"/>
    </x:row>
    <x:row r="27">
      <x:c r="F27" s="91"/>
    </x:row>
    <x:row r="28">
      <x:c r="F28" s="91"/>
    </x:row>
    <x:row r="29">
      <x:c r="F29" s="91"/>
    </x:row>
    <x:row r="30">
      <x:c r="F30" s="9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48" hidden="0" customWidth="1"/>
    <x:col min="3" max="3" width="38" hidden="0" customWidth="1"/>
    <x:col min="4" max="4" width="58" hidden="0" customWidth="1"/>
    <x:col min="5" max="5" width="48" hidden="0" customWidth="1"/>
  </x:cols>
  <x:sheetData>
    <x:row r="1" ht="28" customHeight="1">
      <x:c r="A1" s="1" t="str">
        <x:v>Source traceability</x:v>
      </x:c>
      <x:c r="B1" s="1"/>
      <x:c r="C1" s="1"/>
      <x:c r="D1" s="1"/>
      <x:c r="E1" s="1"/>
    </x:row>
    <x:row r="2" ht="18" customHeight="1">
      <x:c r="A2" s="3" t="str">
        <x:v>The plan distinguishes document requirements from code evidence and runtime verification. Local absolute paths are intentionally omitted.</x:v>
      </x:c>
      <x:c r="B2" s="3"/>
      <x:c r="C2" s="3"/>
      <x:c r="D2" s="3"/>
      <x:c r="E2" s="3"/>
    </x:row>
    <x:row r="4" ht="34" customHeight="1">
      <x:c r="A4" s="41" t="str">
        <x:v>Source</x:v>
      </x:c>
      <x:c r="B4" s="41" t="str">
        <x:v>Location</x:v>
      </x:c>
      <x:c r="C4" s="41" t="str">
        <x:v>Used for</x:v>
      </x:c>
      <x:c r="D4" s="41" t="str">
        <x:v>Verified finding</x:v>
      </x:c>
      <x:c r="E4" s="41" t="str">
        <x:v>Limitation</x:v>
      </x:c>
    </x:row>
    <x:row r="5">
      <x:c r="A5" s="22" t="str">
        <x:v>Topic Assessment Form v2.2</x:v>
      </x:c>
      <x:c r="B5" s="23" t="str">
        <x:v>TAF.pdf, page 4</x:v>
      </x:c>
      <x:c r="C5" s="23" t="str">
        <x:v>Component 2 solution scope</x:v>
      </x:c>
      <x:c r="D5" s="23" t="str">
        <x:v>OCR/data extraction, A-E eligibility, approval prediction, historical cases, RAG and proposal generation</x:v>
      </x:c>
      <x:c r="E5" s="24" t="str">
        <x:v>TAF gives categories, not numeric scoring thresholds or implementation architecture</x:v>
      </x:c>
    </x:row>
    <x:row r="6">
      <x:c r="A6" s="48" t="str">
        <x:v>Topic Assessment Form v2.2</x:v>
      </x:c>
      <x:c r="B6" s="49" t="str">
        <x:v>TAF.pdf, page 7</x:v>
      </x:c>
      <x:c r="C6" s="49" t="str">
        <x:v>Data and ethics assumptions</x:v>
      </x:c>
      <x:c r="D6" s="49" t="str">
        <x:v>Synthetic data is allowed when real data is unavailable; privacy and ethical clearance are required</x:v>
      </x:c>
      <x:c r="E6" s="50" t="str">
        <x:v>Institutional access is described as possible, not verified</x:v>
      </x:c>
    </x:row>
    <x:row r="7">
      <x:c r="A7" s="48" t="str">
        <x:v>Topic Assessment Form v2.2</x:v>
      </x:c>
      <x:c r="B7" s="49" t="str">
        <x:v>TAF.pdf, page 9</x:v>
      </x:c>
      <x:c r="C7" s="49" t="str">
        <x:v>Member objective and task list</x:v>
      </x:c>
      <x:c r="D7" s="49" t="str">
        <x:v>Eight Component 2 tasks and novelty statement belong to IT23182950</x:v>
      </x:c>
      <x:c r="E7" s="50" t="str">
        <x:v>No acceptance metrics are specified</x:v>
      </x:c>
    </x:row>
    <x:row r="8">
      <x:c r="A8" s="48" t="str">
        <x:v>Existing plan workbook</x:v>
      </x:c>
      <x:c r="B8" s="49" t="str">
        <x:v>Overview, Day-by-Day Plan, Antigravity Prompts and Notes</x:v>
      </x:c>
      <x:c r="C8" s="49" t="str">
        <x:v>Original 90-day breakdown and agent workflow</x:v>
      </x:c>
      <x:c r="D8" s="49" t="str">
        <x:v>Useful dependency ordering and prompts</x:v>
      </x:c>
      <x:c r="E8" s="50" t="str">
        <x:v>All day statuses remain Not Started and no longer match the branch</x:v>
      </x:c>
    </x:row>
    <x:row r="9">
      <x:c r="A9" s="48" t="str">
        <x:v>Git branch</x:v>
      </x:c>
      <x:c r="B9" s="49" t="str">
        <x:v>Component_02_RH</x:v>
      </x:c>
      <x:c r="C9" s="49" t="str">
        <x:v>Actual implementation state</x:v>
      </x:c>
      <x:c r="D9" s="49" t="str">
        <x:v>Latest committed Component 2 work includes deterministic scoring; working tree contains further scoring/test changes</x:v>
      </x:c>
      <x:c r="E9" s="50" t="str">
        <x:v>Branch is also ahead with unrelated merged component work</x:v>
      </x:c>
    </x:row>
    <x:row r="10">
      <x:c r="A10" s="48" t="str">
        <x:v>Component 2 source</x:v>
      </x:c>
      <x:c r="B10" s="49" t="str">
        <x:v>src/Modules/LeaseFeasibility</x:v>
      </x:c>
      <x:c r="C10" s="49" t="str">
        <x:v>Domain, application, infrastructure and presentation status</x:v>
      </x:c>
      <x:c r="D10" s="49" t="str">
        <x:v>Domain/app/OCR scaffold exists; prediction/proposal handlers are stubs; persistence/controller folders are empty</x:v>
      </x:c>
      <x:c r="E10" s="50" t="str">
        <x:v>Static inspection does not prove deployed behavior</x:v>
      </x:c>
    </x:row>
    <x:row r="11">
      <x:c r="A11" s="48" t="str">
        <x:v>Component 2 web source</x:v>
      </x:c>
      <x:c r="B11" s="49" t="str">
        <x:v>StateLandGovernance.Web/src/app/component-02/page.tsx</x:v>
      </x:c>
      <x:c r="C11" s="49" t="str">
        <x:v>UI status</x:v>
      </x:c>
      <x:c r="D11" s="49" t="str">
        <x:v>Coming-soon placeholder only</x:v>
      </x:c>
      <x:c r="E11" s="50" t="str">
        <x:v>No browser runtime was required to establish absence of workflow</x:v>
      </x:c>
    </x:row>
    <x:row r="12">
      <x:c r="A12" s="48" t="str">
        <x:v>Runtime verification</x:v>
      </x:c>
      <x:c r="B12" s="49" t="str">
        <x:v>dotnet test Component 2 unit test project</x:v>
      </x:c>
      <x:c r="C12" s="49" t="str">
        <x:v>Current unit baseline</x:v>
      </x:c>
      <x:c r="D12" s="49" t="str">
        <x:v>44 passed, 0 failed</x:v>
      </x:c>
      <x:c r="E12" s="50" t="str">
        <x:v>Includes mocks and uncommitted boundary tests; not an integration or real-data result</x:v>
      </x:c>
    </x:row>
    <x:row r="13">
      <x:c r="A13" s="48" t="str">
        <x:v>Runtime verification</x:v>
      </x:c>
      <x:c r="B13" s="49" t="str">
        <x:v>dotnet build StateLandGovernance.Api.csproj</x:v>
      </x:c>
      <x:c r="C13" s="49" t="str">
        <x:v>Solution integration baseline</x:v>
      </x:c>
      <x:c r="D13" s="49" t="str">
        <x:v>Build passed with 0 warnings and 0 errors</x:v>
      </x:c>
      <x:c r="E13" s="50" t="str">
        <x:v>Build success does not mean Component 2 is registered or callable</x:v>
      </x:c>
    </x:row>
    <x:row r="14">
      <x:c r="A14" s="25" t="str">
        <x:v>Runtime verification</x:v>
      </x:c>
      <x:c r="B14" s="26" t="str">
        <x:v>OcrBatchTester</x:v>
      </x:c>
      <x:c r="C14" s="26" t="str">
        <x:v>Extraction baseline</x:v>
      </x:c>
      <x:c r="D14" s="26" t="str">
        <x:v>73/96 fields correct across 24 synthetic text documents (76.0%)</x:v>
      </x:c>
      <x:c r="E14" s="27" t="str">
        <x:v>Synthetic text fixtures do not represent scanned real-world documents</x:v>
      </x:c>
    </x:row>
  </x:sheetData>
  <x:pageMargins left="0.7" right="0.7" top="0.75" bottom="0.75" header="0.3" footer="0.3"/>
</x:worksheet>
</file>